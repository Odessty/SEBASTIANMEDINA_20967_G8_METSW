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2650" windowHeight="10215" activeTab="2"/>
  </bookViews>
  <sheets>
    <sheet name="BACKLOG" sheetId="1" r:id="rId1"/>
    <sheet name="SPRINT 0" sheetId="2" r:id="rId2"/>
    <sheet name="BURDONCHART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3" l="1"/>
  <c r="E29" i="3"/>
  <c r="C29" i="3"/>
  <c r="D29" i="3" s="1"/>
  <c r="C28" i="3"/>
  <c r="D28" i="3" s="1"/>
  <c r="E28" i="3" s="1"/>
  <c r="F28" i="3" s="1"/>
  <c r="G28" i="3" s="1"/>
  <c r="H28" i="3" s="1"/>
  <c r="I28" i="3" s="1"/>
  <c r="J28" i="3" s="1"/>
  <c r="K28" i="3" s="1"/>
  <c r="L28" i="3" s="1"/>
  <c r="M28" i="3" s="1"/>
  <c r="W21" i="3"/>
  <c r="W19" i="3"/>
  <c r="W18" i="3"/>
  <c r="F29" i="3" l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N28" i="3"/>
  <c r="O28" i="3" s="1"/>
  <c r="P28" i="3" s="1"/>
  <c r="Q28" i="3" s="1"/>
  <c r="R28" i="3" s="1"/>
  <c r="S28" i="3" s="1"/>
  <c r="T28" i="3" s="1"/>
  <c r="U28" i="3" s="1"/>
  <c r="V28" i="3" s="1"/>
  <c r="W16" i="3"/>
  <c r="W15" i="3"/>
  <c r="W13" i="3"/>
  <c r="W12" i="3"/>
  <c r="W11" i="3"/>
  <c r="W9" i="3"/>
  <c r="W8" i="3"/>
  <c r="W5" i="3" l="1"/>
  <c r="W6" i="3"/>
</calcChain>
</file>

<file path=xl/sharedStrings.xml><?xml version="1.0" encoding="utf-8"?>
<sst xmlns="http://schemas.openxmlformats.org/spreadsheetml/2006/main" count="196" uniqueCount="112">
  <si>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</si>
  <si>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</si>
  <si>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</si>
  <si>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</si>
  <si>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</si>
  <si>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</si>
  <si>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</si>
  <si>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</si>
  <si>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</si>
  <si>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</si>
  <si>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</si>
  <si>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</si>
  <si>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</si>
  <si>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</si>
  <si>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</si>
  <si>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</si>
  <si>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</si>
  <si>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</si>
  <si>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</si>
  <si>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</si>
  <si>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</si>
  <si>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</si>
  <si>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</si>
  <si>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</si>
  <si>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</si>
  <si>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</si>
  <si>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</si>
  <si>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</si>
  <si>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</si>
  <si>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</si>
  <si>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</si>
  <si>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</si>
  <si>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</si>
  <si>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Administrador/Cliente</t>
  </si>
  <si>
    <t>REQ002</t>
  </si>
  <si>
    <t>Ingreso por Credenciales</t>
  </si>
  <si>
    <t>Registro de Intervencion por Movil u Ordenador</t>
  </si>
  <si>
    <t>Permitir el ingreso de datos</t>
  </si>
  <si>
    <t>Automatizar el proceso de recolección de datos</t>
  </si>
  <si>
    <t>REQ003</t>
  </si>
  <si>
    <t>REQ006</t>
  </si>
  <si>
    <t>Generación Automatica de Reportes</t>
  </si>
  <si>
    <t>Automatizar la creación de reportes tecnicos</t>
  </si>
  <si>
    <t>Generar Automaticamente un documento PDF al finalizar la intervención</t>
  </si>
  <si>
    <t>Interfaz Amigable</t>
  </si>
  <si>
    <t>Facilitar el uso de la plataforma en el Campo</t>
  </si>
  <si>
    <t>Navegar sin conocimiento previo y llenar de forma rapida y sencilla formularios</t>
  </si>
  <si>
    <t>REQ002-1</t>
  </si>
  <si>
    <t>REQ002-2</t>
  </si>
  <si>
    <t>Registro de datos de intervención en la base de datos.</t>
  </si>
  <si>
    <t>Crear una interfaz para el ingredo de datos.</t>
  </si>
  <si>
    <t>Sebastian Medina</t>
  </si>
  <si>
    <t xml:space="preserve">Asignado </t>
  </si>
  <si>
    <t>REQ003-1</t>
  </si>
  <si>
    <t>REQ003-2</t>
  </si>
  <si>
    <t>REQ003-3</t>
  </si>
  <si>
    <t>Almacenamiento de inicio de sesión en base de datos.</t>
  </si>
  <si>
    <t>Validación de inicio de sesión en la base de datos</t>
  </si>
  <si>
    <t>Digitalización de formulario previamente dado por el cliente</t>
  </si>
  <si>
    <t>automatización de posibles respuestas dentro del formulario</t>
  </si>
  <si>
    <t>Guardado de reporte en formato pdf en la base de datos</t>
  </si>
  <si>
    <t>Roberto Ramirez</t>
  </si>
  <si>
    <t xml:space="preserve">Tareas </t>
  </si>
  <si>
    <t xml:space="preserve">Estimado </t>
  </si>
  <si>
    <t>REQ006-1</t>
  </si>
  <si>
    <t>REQ006-2</t>
  </si>
  <si>
    <t>Analizar posibles pestañas necesarias dentro de la interfaz</t>
  </si>
  <si>
    <t>Crear apartados intuitivos que faciliten la navegacion por la interfaz</t>
  </si>
  <si>
    <t>REQ004</t>
  </si>
  <si>
    <t>REQ005</t>
  </si>
  <si>
    <t xml:space="preserve">Ingreso de nuevos datos </t>
  </si>
  <si>
    <t>Usuario</t>
  </si>
  <si>
    <t xml:space="preserve">Usuario </t>
  </si>
  <si>
    <t xml:space="preserve">Nuevos campos para ingreso de datos </t>
  </si>
  <si>
    <t xml:space="preserve">Añadir mayor información a los reportes que resultesn útil para el cliente y sus beneficiarios </t>
  </si>
  <si>
    <t xml:space="preserve">Media </t>
  </si>
  <si>
    <t>Finalizado</t>
  </si>
  <si>
    <t xml:space="preserve">Finalizado </t>
  </si>
  <si>
    <t>Media</t>
  </si>
  <si>
    <t xml:space="preserve">Creación de nuevos campos de ingreso de datos dentro del formulario </t>
  </si>
  <si>
    <t>Creación de nuevo apartado dentro de la base de datos para obtener información acerca de productos</t>
  </si>
  <si>
    <t xml:space="preserve">Gonzalo Zavala </t>
  </si>
  <si>
    <t xml:space="preserve">Sebastian Medina </t>
  </si>
  <si>
    <t xml:space="preserve">Validación de Datos dentro del formulario </t>
  </si>
  <si>
    <t>Administrador</t>
  </si>
  <si>
    <t>Validar los datos a ingresar dentro del formulario</t>
  </si>
  <si>
    <t xml:space="preserve">Administrador </t>
  </si>
  <si>
    <t>Obtener un mayor control y evitar errores futuros para el cliente</t>
  </si>
  <si>
    <t xml:space="preserve">Obtener un mayor control y evitar errores futuros para el cliente </t>
  </si>
  <si>
    <t xml:space="preserve">Alta </t>
  </si>
  <si>
    <t>REQ004-1</t>
  </si>
  <si>
    <t>REQ004-2</t>
  </si>
  <si>
    <t>REQ005-1</t>
  </si>
  <si>
    <t>REQ005-2</t>
  </si>
  <si>
    <t xml:space="preserve">Creación de validaciones para elementos del formulario (fecha, ingreso de usuarios, creación de usuarios) </t>
  </si>
  <si>
    <t>SPRINT 1</t>
  </si>
  <si>
    <t>SPRINT 2</t>
  </si>
  <si>
    <t xml:space="preserve">Añadir mayor información a los reportes que resulten útil para el cliente y sus beneficiarios 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</si>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</sst>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14" fillId="0" borderId="0" xfId="0" applyFont="1"/>
    <xf numFmtId="0" fontId="8" fillId="0" borderId="0" xfId="0" applyFont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left" vertical="center" wrapText="1"/>
    </xf>
  </cellXfs>
  <cellStyles count="2">
    <cellStyle name="Normal" xfId="0" builtinId="0"/>
    <cellStyle name="Normal 2" xfId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BURDONCHART!$C$28:$V$28</c:f>
              <c:numCache>
                <c:formatCode>General</c:formatCode>
                <c:ptCount val="20"/>
                <c:pt idx="0">
                  <c:v>58</c:v>
                </c:pt>
                <c:pt idx="1">
                  <c:v>57</c:v>
                </c:pt>
                <c:pt idx="2">
                  <c:v>56</c:v>
                </c:pt>
                <c:pt idx="3">
                  <c:v>55</c:v>
                </c:pt>
                <c:pt idx="4">
                  <c:v>52</c:v>
                </c:pt>
                <c:pt idx="5">
                  <c:v>50</c:v>
                </c:pt>
                <c:pt idx="6">
                  <c:v>49</c:v>
                </c:pt>
                <c:pt idx="7">
                  <c:v>48</c:v>
                </c:pt>
                <c:pt idx="8">
                  <c:v>45</c:v>
                </c:pt>
                <c:pt idx="9">
                  <c:v>44</c:v>
                </c:pt>
                <c:pt idx="10">
                  <c:v>39</c:v>
                </c:pt>
                <c:pt idx="11">
                  <c:v>36</c:v>
                </c:pt>
                <c:pt idx="12">
                  <c:v>33</c:v>
                </c:pt>
                <c:pt idx="13">
                  <c:v>29</c:v>
                </c:pt>
                <c:pt idx="14">
                  <c:v>27</c:v>
                </c:pt>
                <c:pt idx="15">
                  <c:v>20</c:v>
                </c:pt>
                <c:pt idx="16">
                  <c:v>14</c:v>
                </c:pt>
                <c:pt idx="17">
                  <c:v>9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BURDONCHART!$C$29:$V$29</c:f>
              <c:numCache>
                <c:formatCode>0.0</c:formatCode>
                <c:ptCount val="20"/>
                <c:pt idx="0" formatCode="General">
                  <c:v>58</c:v>
                </c:pt>
                <c:pt idx="1">
                  <c:v>54.94736842105263</c:v>
                </c:pt>
                <c:pt idx="2">
                  <c:v>51.89473684210526</c:v>
                </c:pt>
                <c:pt idx="3">
                  <c:v>48.84210526315789</c:v>
                </c:pt>
                <c:pt idx="4">
                  <c:v>45.78947368421052</c:v>
                </c:pt>
                <c:pt idx="5">
                  <c:v>42.73684210526315</c:v>
                </c:pt>
                <c:pt idx="6">
                  <c:v>39.68421052631578</c:v>
                </c:pt>
                <c:pt idx="7">
                  <c:v>36.631578947368411</c:v>
                </c:pt>
                <c:pt idx="8">
                  <c:v>33.578947368421041</c:v>
                </c:pt>
                <c:pt idx="9">
                  <c:v>30.526315789473671</c:v>
                </c:pt>
                <c:pt idx="10">
                  <c:v>27.473684210526301</c:v>
                </c:pt>
                <c:pt idx="11">
                  <c:v>24.421052631578931</c:v>
                </c:pt>
                <c:pt idx="12">
                  <c:v>21.368421052631561</c:v>
                </c:pt>
                <c:pt idx="13">
                  <c:v>18.315789473684191</c:v>
                </c:pt>
                <c:pt idx="14">
                  <c:v>15.263157894736823</c:v>
                </c:pt>
                <c:pt idx="15">
                  <c:v>12.210526315789455</c:v>
                </c:pt>
                <c:pt idx="16">
                  <c:v>9.1578947368420867</c:v>
                </c:pt>
                <c:pt idx="17">
                  <c:v>6.1052631578947185</c:v>
                </c:pt>
                <c:pt idx="18">
                  <c:v>3.0526315789473499</c:v>
                </c:pt>
                <c:pt idx="19">
                  <c:v>-1.865174681370263E-14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737847</xdr:colOff>
      <xdr:row>36</xdr:row>
      <xdr:rowOff>116681</xdr:rowOff>
    </xdr:from>
    <xdr:to>
      <xdr:col>20</xdr:col>
      <xdr:colOff>371134</xdr:colOff>
      <xdr:row>57</xdr:row>
      <xdr:rowOff>76879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W4:W6" headerRowCount="0" totalsRowShown="0">
  <tableColumns count="1">
    <tableColumn id="1" name="Column1" totalsRowDxfId="1">
      <calculatedColumnFormula>SUM(D4:V4)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13" displayName="Table_13" ref="W8:W10" headerRowCount="0" totalsRowShown="0">
  <tableColumns count="1">
    <tableColumn id="1" name="Column1" totalsRowDxfId="0">
      <calculatedColumnFormula>SUM(D8:V8)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>
      <selection activeCell="I17" sqref="I17"/>
    </sheetView>
  </sheetViews>
  <sheetFormatPr baseColWidth="10" defaultColWidth="12.5703125" defaultRowHeight="15" customHeight="1" x14ac:dyDescent="0.2"/>
  <cols>
    <col min="1" max="1" width="12.42578125" customWidth="1"/>
    <col min="2" max="2" width="39.7109375" bestFit="1" customWidth="1"/>
    <col min="3" max="3" width="36" customWidth="1"/>
    <col min="4" max="4" width="37.7109375" bestFit="1" customWidth="1"/>
    <col min="5" max="5" width="66" bestFit="1" customWidth="1"/>
    <col min="6" max="26" width="12.42578125" customWidth="1"/>
  </cols>
  <sheetData>
    <row r="1" spans="1:8" s="9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">
      <c r="A2" s="32" t="s">
        <v>95</v>
      </c>
      <c r="B2" s="32"/>
      <c r="C2" s="32"/>
      <c r="D2" s="32"/>
      <c r="E2" s="32"/>
      <c r="F2" s="32"/>
      <c r="G2" s="32"/>
      <c r="H2" s="32"/>
    </row>
    <row r="3" spans="1:8" ht="15.75" customHeight="1" x14ac:dyDescent="0.2">
      <c r="A3" s="16" t="s">
        <v>8</v>
      </c>
      <c r="B3" s="16" t="s">
        <v>35</v>
      </c>
      <c r="C3" s="16" t="s">
        <v>33</v>
      </c>
      <c r="D3" s="17" t="s">
        <v>9</v>
      </c>
      <c r="E3" s="16" t="s">
        <v>10</v>
      </c>
      <c r="F3" s="18"/>
      <c r="G3" s="16" t="s">
        <v>11</v>
      </c>
      <c r="H3" s="16" t="s">
        <v>76</v>
      </c>
    </row>
    <row r="4" spans="1:8" ht="15.75" customHeight="1" x14ac:dyDescent="0.2">
      <c r="A4" s="16" t="s">
        <v>34</v>
      </c>
      <c r="B4" s="16" t="s">
        <v>36</v>
      </c>
      <c r="C4" s="16" t="s">
        <v>71</v>
      </c>
      <c r="D4" s="17" t="s">
        <v>37</v>
      </c>
      <c r="E4" s="16" t="s">
        <v>38</v>
      </c>
      <c r="F4" s="16"/>
      <c r="G4" s="16" t="s">
        <v>11</v>
      </c>
      <c r="H4" s="16" t="s">
        <v>76</v>
      </c>
    </row>
    <row r="5" spans="1:8" ht="15.75" customHeight="1" x14ac:dyDescent="0.2">
      <c r="A5" s="16" t="s">
        <v>39</v>
      </c>
      <c r="B5" s="16" t="s">
        <v>41</v>
      </c>
      <c r="C5" s="16" t="s">
        <v>72</v>
      </c>
      <c r="D5" s="17" t="s">
        <v>42</v>
      </c>
      <c r="E5" s="16" t="s">
        <v>43</v>
      </c>
      <c r="F5" s="18"/>
      <c r="G5" s="16" t="s">
        <v>11</v>
      </c>
      <c r="H5" s="16" t="s">
        <v>76</v>
      </c>
    </row>
    <row r="6" spans="1:8" s="29" customFormat="1" ht="13.9" customHeight="1" x14ac:dyDescent="0.2">
      <c r="A6" s="16" t="s">
        <v>68</v>
      </c>
      <c r="B6" s="16" t="s">
        <v>44</v>
      </c>
      <c r="C6" s="16" t="s">
        <v>72</v>
      </c>
      <c r="D6" s="17" t="s">
        <v>45</v>
      </c>
      <c r="E6" s="16" t="s">
        <v>46</v>
      </c>
      <c r="F6" s="18"/>
      <c r="G6" s="16" t="s">
        <v>11</v>
      </c>
      <c r="H6" s="16" t="s">
        <v>76</v>
      </c>
    </row>
    <row r="7" spans="1:8" ht="15.75" customHeight="1" x14ac:dyDescent="0.2">
      <c r="A7" s="33" t="s">
        <v>96</v>
      </c>
      <c r="B7" s="33"/>
      <c r="C7" s="33"/>
      <c r="D7" s="33"/>
      <c r="E7" s="33"/>
      <c r="F7" s="33"/>
      <c r="G7" s="33"/>
      <c r="H7" s="33"/>
    </row>
    <row r="8" spans="1:8" ht="25.5" x14ac:dyDescent="0.2">
      <c r="A8" s="27" t="s">
        <v>69</v>
      </c>
      <c r="B8" s="27" t="s">
        <v>70</v>
      </c>
      <c r="C8" s="27" t="s">
        <v>71</v>
      </c>
      <c r="D8" s="30" t="s">
        <v>73</v>
      </c>
      <c r="E8" s="28" t="s">
        <v>97</v>
      </c>
      <c r="F8" s="29"/>
      <c r="G8" s="27" t="s">
        <v>75</v>
      </c>
      <c r="H8" s="27" t="s">
        <v>76</v>
      </c>
    </row>
    <row r="9" spans="1:8" ht="15.75" customHeight="1" x14ac:dyDescent="0.2">
      <c r="A9" s="16" t="s">
        <v>40</v>
      </c>
      <c r="B9" s="27" t="s">
        <v>83</v>
      </c>
      <c r="C9" s="27" t="s">
        <v>84</v>
      </c>
      <c r="D9" s="27" t="s">
        <v>85</v>
      </c>
      <c r="E9" s="27" t="s">
        <v>87</v>
      </c>
      <c r="F9" s="29"/>
      <c r="G9" s="27" t="s">
        <v>11</v>
      </c>
      <c r="H9" s="27" t="s">
        <v>76</v>
      </c>
    </row>
    <row r="10" spans="1:8" ht="15.75" customHeight="1" x14ac:dyDescent="0.2"/>
    <row r="11" spans="1:8" ht="15.75" customHeight="1" x14ac:dyDescent="0.2"/>
    <row r="12" spans="1:8" ht="15.75" customHeight="1" x14ac:dyDescent="0.2"/>
    <row r="13" spans="1:8" ht="15.75" customHeight="1" x14ac:dyDescent="0.2"/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2:H2"/>
    <mergeCell ref="A7:H7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I970"/>
  <sheetViews>
    <sheetView topLeftCell="B10" workbookViewId="0">
      <selection activeCell="I24" sqref="I24"/>
    </sheetView>
  </sheetViews>
  <sheetFormatPr baseColWidth="10" defaultColWidth="12.5703125" defaultRowHeight="15" customHeight="1" x14ac:dyDescent="0.2"/>
  <cols>
    <col min="1" max="2" width="12.42578125" customWidth="1"/>
    <col min="3" max="3" width="31.28515625" customWidth="1"/>
    <col min="4" max="4" width="18.7109375" customWidth="1"/>
    <col min="5" max="5" width="37.7109375" bestFit="1" customWidth="1"/>
    <col min="6" max="6" width="56.28515625" customWidth="1"/>
    <col min="7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2:9" s="11" customFormat="1" ht="15.75" customHeight="1" x14ac:dyDescent="0.2">
      <c r="B4" s="19" t="s">
        <v>8</v>
      </c>
      <c r="C4" s="19" t="s">
        <v>35</v>
      </c>
      <c r="D4" s="19" t="s">
        <v>33</v>
      </c>
      <c r="E4" s="20" t="s">
        <v>9</v>
      </c>
      <c r="F4" s="19" t="s">
        <v>10</v>
      </c>
      <c r="G4" s="21"/>
      <c r="H4" s="19" t="s">
        <v>11</v>
      </c>
      <c r="I4" s="19" t="s">
        <v>77</v>
      </c>
    </row>
    <row r="5" spans="2:9" s="11" customFormat="1" ht="15.75" customHeight="1" x14ac:dyDescent="0.2">
      <c r="B5" s="10"/>
      <c r="C5" s="12" t="s">
        <v>17</v>
      </c>
      <c r="D5" s="10"/>
      <c r="E5" s="10"/>
      <c r="F5" s="10"/>
      <c r="G5" s="12" t="s">
        <v>18</v>
      </c>
      <c r="H5" s="10"/>
      <c r="I5" s="12" t="s">
        <v>19</v>
      </c>
    </row>
    <row r="6" spans="2:9" s="11" customFormat="1" ht="15.75" customHeight="1" x14ac:dyDescent="0.2">
      <c r="B6" s="10" t="s">
        <v>20</v>
      </c>
      <c r="C6" s="35" t="s">
        <v>21</v>
      </c>
      <c r="D6" s="36"/>
      <c r="E6" s="36"/>
      <c r="F6" s="36"/>
      <c r="G6" s="10" t="s">
        <v>51</v>
      </c>
      <c r="H6" s="10"/>
      <c r="I6" s="15">
        <v>5</v>
      </c>
    </row>
    <row r="7" spans="2:9" s="11" customFormat="1" ht="15.75" customHeight="1" x14ac:dyDescent="0.2">
      <c r="B7" s="10" t="s">
        <v>22</v>
      </c>
      <c r="C7" s="35" t="s">
        <v>56</v>
      </c>
      <c r="D7" s="36"/>
      <c r="E7" s="36"/>
      <c r="F7" s="36"/>
      <c r="G7" s="13" t="s">
        <v>51</v>
      </c>
      <c r="H7" s="10"/>
      <c r="I7" s="15">
        <v>3</v>
      </c>
    </row>
    <row r="8" spans="2:9" s="11" customFormat="1" ht="15.75" customHeight="1" x14ac:dyDescent="0.2">
      <c r="B8" s="10" t="s">
        <v>23</v>
      </c>
      <c r="C8" s="35" t="s">
        <v>57</v>
      </c>
      <c r="D8" s="36"/>
      <c r="E8" s="36"/>
      <c r="F8" s="36"/>
      <c r="G8" s="13" t="s">
        <v>51</v>
      </c>
      <c r="H8" s="10"/>
      <c r="I8" s="10">
        <v>3</v>
      </c>
    </row>
    <row r="9" spans="2:9" ht="15.75" customHeight="1" x14ac:dyDescent="0.2">
      <c r="B9" s="1"/>
      <c r="C9" s="1"/>
      <c r="D9" s="1"/>
      <c r="E9" s="1"/>
      <c r="F9" s="1"/>
      <c r="G9" s="1"/>
      <c r="H9" s="1"/>
      <c r="I9" s="1"/>
    </row>
    <row r="10" spans="2:9" ht="15.75" customHeight="1" x14ac:dyDescent="0.2">
      <c r="B10" s="19" t="s">
        <v>34</v>
      </c>
      <c r="C10" s="19" t="s">
        <v>36</v>
      </c>
      <c r="D10" s="19" t="s">
        <v>71</v>
      </c>
      <c r="E10" s="20" t="s">
        <v>37</v>
      </c>
      <c r="F10" s="19" t="s">
        <v>38</v>
      </c>
      <c r="G10" s="19"/>
      <c r="H10" s="19" t="s">
        <v>11</v>
      </c>
      <c r="I10" s="19" t="s">
        <v>77</v>
      </c>
    </row>
    <row r="11" spans="2:9" ht="15.75" customHeight="1" x14ac:dyDescent="0.2">
      <c r="B11" s="13"/>
      <c r="C11" s="12" t="s">
        <v>17</v>
      </c>
      <c r="D11" s="14"/>
      <c r="E11" s="14"/>
      <c r="F11" s="14"/>
      <c r="G11" s="12" t="s">
        <v>18</v>
      </c>
      <c r="H11" s="14"/>
      <c r="I11" s="15" t="s">
        <v>19</v>
      </c>
    </row>
    <row r="12" spans="2:9" ht="15.75" customHeight="1" x14ac:dyDescent="0.2">
      <c r="B12" s="14" t="s">
        <v>47</v>
      </c>
      <c r="C12" s="34" t="s">
        <v>50</v>
      </c>
      <c r="D12" s="34"/>
      <c r="E12" s="34"/>
      <c r="F12" s="34"/>
      <c r="G12" s="14" t="s">
        <v>51</v>
      </c>
      <c r="H12" s="14"/>
      <c r="I12" s="14">
        <v>5</v>
      </c>
    </row>
    <row r="13" spans="2:9" ht="15.75" customHeight="1" x14ac:dyDescent="0.2">
      <c r="B13" s="14" t="s">
        <v>48</v>
      </c>
      <c r="C13" s="34" t="s">
        <v>49</v>
      </c>
      <c r="D13" s="34"/>
      <c r="E13" s="34"/>
      <c r="F13" s="34"/>
      <c r="G13" s="14" t="s">
        <v>51</v>
      </c>
      <c r="H13" s="14"/>
      <c r="I13" s="14">
        <v>5</v>
      </c>
    </row>
    <row r="14" spans="2:9" ht="15.75" customHeight="1" x14ac:dyDescent="0.2">
      <c r="B14" s="18"/>
      <c r="C14" s="18"/>
      <c r="D14" s="18"/>
      <c r="E14" s="18"/>
      <c r="F14" s="18"/>
    </row>
    <row r="15" spans="2:9" ht="15.75" customHeight="1" x14ac:dyDescent="0.2">
      <c r="B15" s="19" t="s">
        <v>39</v>
      </c>
      <c r="C15" s="19" t="s">
        <v>41</v>
      </c>
      <c r="D15" s="19" t="s">
        <v>71</v>
      </c>
      <c r="E15" s="20" t="s">
        <v>42</v>
      </c>
      <c r="F15" s="19" t="s">
        <v>43</v>
      </c>
      <c r="G15" s="21"/>
      <c r="H15" s="19" t="s">
        <v>11</v>
      </c>
      <c r="I15" s="19" t="s">
        <v>77</v>
      </c>
    </row>
    <row r="16" spans="2:9" ht="15.75" customHeight="1" x14ac:dyDescent="0.2">
      <c r="B16" s="14"/>
      <c r="C16" s="22" t="s">
        <v>17</v>
      </c>
      <c r="D16" s="14"/>
      <c r="E16" s="14"/>
      <c r="F16" s="14"/>
      <c r="G16" s="22" t="s">
        <v>52</v>
      </c>
      <c r="H16" s="14"/>
      <c r="I16" s="22" t="s">
        <v>19</v>
      </c>
    </row>
    <row r="17" spans="2:9" ht="15.75" customHeight="1" x14ac:dyDescent="0.2">
      <c r="B17" s="14" t="s">
        <v>53</v>
      </c>
      <c r="C17" s="34" t="s">
        <v>58</v>
      </c>
      <c r="D17" s="34"/>
      <c r="E17" s="34"/>
      <c r="F17" s="34"/>
      <c r="G17" s="14" t="s">
        <v>61</v>
      </c>
      <c r="H17" s="14"/>
      <c r="I17" s="14">
        <v>4</v>
      </c>
    </row>
    <row r="18" spans="2:9" ht="15.75" customHeight="1" x14ac:dyDescent="0.2">
      <c r="B18" s="14" t="s">
        <v>54</v>
      </c>
      <c r="C18" s="34" t="s">
        <v>59</v>
      </c>
      <c r="D18" s="34"/>
      <c r="E18" s="34"/>
      <c r="F18" s="34"/>
      <c r="G18" s="14" t="s">
        <v>61</v>
      </c>
      <c r="H18" s="14"/>
      <c r="I18" s="14">
        <v>4</v>
      </c>
    </row>
    <row r="19" spans="2:9" ht="15.75" customHeight="1" x14ac:dyDescent="0.2">
      <c r="B19" s="14" t="s">
        <v>55</v>
      </c>
      <c r="C19" s="34" t="s">
        <v>60</v>
      </c>
      <c r="D19" s="34"/>
      <c r="E19" s="34"/>
      <c r="F19" s="34"/>
      <c r="G19" s="14" t="s">
        <v>61</v>
      </c>
      <c r="H19" s="14"/>
      <c r="I19" s="14">
        <v>4</v>
      </c>
    </row>
    <row r="20" spans="2:9" ht="15.75" customHeight="1" x14ac:dyDescent="0.2"/>
    <row r="21" spans="2:9" ht="15.75" customHeight="1" x14ac:dyDescent="0.2">
      <c r="B21" s="19" t="s">
        <v>68</v>
      </c>
      <c r="C21" s="19" t="s">
        <v>44</v>
      </c>
      <c r="D21" s="19" t="s">
        <v>72</v>
      </c>
      <c r="E21" s="20" t="s">
        <v>45</v>
      </c>
      <c r="F21" s="19" t="s">
        <v>46</v>
      </c>
      <c r="G21" s="21"/>
      <c r="H21" s="19" t="s">
        <v>11</v>
      </c>
      <c r="I21" s="19" t="s">
        <v>77</v>
      </c>
    </row>
    <row r="22" spans="2:9" ht="15.75" customHeight="1" x14ac:dyDescent="0.2">
      <c r="B22" s="14"/>
      <c r="C22" s="22" t="s">
        <v>62</v>
      </c>
      <c r="D22" s="14"/>
      <c r="E22" s="14"/>
      <c r="F22" s="14"/>
      <c r="G22" s="22" t="s">
        <v>52</v>
      </c>
      <c r="H22" s="14"/>
      <c r="I22" s="22" t="s">
        <v>63</v>
      </c>
    </row>
    <row r="23" spans="2:9" ht="15.75" customHeight="1" x14ac:dyDescent="0.2">
      <c r="B23" s="14" t="s">
        <v>90</v>
      </c>
      <c r="C23" s="34" t="s">
        <v>66</v>
      </c>
      <c r="D23" s="34"/>
      <c r="E23" s="34"/>
      <c r="F23" s="34"/>
      <c r="G23" s="14" t="s">
        <v>61</v>
      </c>
      <c r="H23" s="14"/>
      <c r="I23" s="14">
        <v>3</v>
      </c>
    </row>
    <row r="24" spans="2:9" ht="15.75" customHeight="1" x14ac:dyDescent="0.2">
      <c r="B24" s="14" t="s">
        <v>91</v>
      </c>
      <c r="C24" s="34" t="s">
        <v>67</v>
      </c>
      <c r="D24" s="34"/>
      <c r="E24" s="34"/>
      <c r="F24" s="34"/>
      <c r="G24" s="14" t="s">
        <v>61</v>
      </c>
      <c r="H24" s="14"/>
      <c r="I24" s="14">
        <v>3</v>
      </c>
    </row>
    <row r="25" spans="2:9" ht="15.75" customHeight="1" x14ac:dyDescent="0.2">
      <c r="B25" s="19" t="s">
        <v>69</v>
      </c>
      <c r="C25" s="19" t="s">
        <v>70</v>
      </c>
      <c r="D25" s="19" t="s">
        <v>72</v>
      </c>
      <c r="E25" s="20" t="s">
        <v>73</v>
      </c>
      <c r="F25" s="19" t="s">
        <v>74</v>
      </c>
      <c r="G25" s="21"/>
      <c r="H25" s="19" t="s">
        <v>78</v>
      </c>
      <c r="I25" s="19" t="s">
        <v>77</v>
      </c>
    </row>
    <row r="26" spans="2:9" ht="15.75" customHeight="1" x14ac:dyDescent="0.2">
      <c r="B26" s="23"/>
      <c r="C26" s="22" t="s">
        <v>62</v>
      </c>
      <c r="D26" s="23"/>
      <c r="E26" s="23"/>
      <c r="F26" s="23"/>
      <c r="G26" s="22" t="s">
        <v>52</v>
      </c>
      <c r="H26" s="23"/>
      <c r="I26" s="22" t="s">
        <v>63</v>
      </c>
    </row>
    <row r="27" spans="2:9" ht="15.75" customHeight="1" x14ac:dyDescent="0.2">
      <c r="B27" s="23" t="s">
        <v>92</v>
      </c>
      <c r="C27" s="34" t="s">
        <v>79</v>
      </c>
      <c r="D27" s="34"/>
      <c r="E27" s="34"/>
      <c r="F27" s="34"/>
      <c r="G27" s="23" t="s">
        <v>81</v>
      </c>
      <c r="H27" s="23"/>
      <c r="I27" s="23">
        <v>5</v>
      </c>
    </row>
    <row r="28" spans="2:9" ht="15.75" customHeight="1" x14ac:dyDescent="0.2">
      <c r="B28" s="23" t="s">
        <v>93</v>
      </c>
      <c r="C28" s="34" t="s">
        <v>80</v>
      </c>
      <c r="D28" s="34"/>
      <c r="E28" s="34"/>
      <c r="F28" s="34"/>
      <c r="G28" s="23" t="s">
        <v>82</v>
      </c>
      <c r="H28" s="23"/>
      <c r="I28" s="23">
        <v>5</v>
      </c>
    </row>
    <row r="29" spans="2:9" ht="15.75" customHeight="1" x14ac:dyDescent="0.2"/>
    <row r="30" spans="2:9" ht="15.75" customHeight="1" x14ac:dyDescent="0.2">
      <c r="B30" s="19" t="s">
        <v>40</v>
      </c>
      <c r="C30" s="19" t="s">
        <v>83</v>
      </c>
      <c r="D30" s="19" t="s">
        <v>86</v>
      </c>
      <c r="E30" s="20" t="s">
        <v>85</v>
      </c>
      <c r="F30" s="19" t="s">
        <v>88</v>
      </c>
      <c r="G30" s="21"/>
      <c r="H30" s="19" t="s">
        <v>89</v>
      </c>
      <c r="I30" s="19" t="s">
        <v>77</v>
      </c>
    </row>
    <row r="31" spans="2:9" ht="15.75" customHeight="1" x14ac:dyDescent="0.2">
      <c r="B31" s="23"/>
      <c r="C31" s="22" t="s">
        <v>62</v>
      </c>
      <c r="D31" s="23"/>
      <c r="E31" s="23"/>
      <c r="F31" s="23"/>
      <c r="G31" s="22" t="s">
        <v>52</v>
      </c>
      <c r="H31" s="23"/>
      <c r="I31" s="22" t="s">
        <v>63</v>
      </c>
    </row>
    <row r="32" spans="2:9" ht="15.75" customHeight="1" x14ac:dyDescent="0.2">
      <c r="B32" s="23" t="s">
        <v>64</v>
      </c>
      <c r="C32" s="34" t="s">
        <v>94</v>
      </c>
      <c r="D32" s="34"/>
      <c r="E32" s="34"/>
      <c r="F32" s="34"/>
      <c r="G32" s="23" t="s">
        <v>81</v>
      </c>
      <c r="H32" s="23"/>
      <c r="I32" s="23">
        <v>4</v>
      </c>
    </row>
    <row r="33" spans="2:9" ht="15.75" customHeight="1" x14ac:dyDescent="0.2">
      <c r="B33" s="23"/>
      <c r="C33" s="34"/>
      <c r="D33" s="34"/>
      <c r="E33" s="34"/>
      <c r="F33" s="34"/>
      <c r="G33" s="23"/>
      <c r="H33" s="23"/>
      <c r="I33" s="23"/>
    </row>
    <row r="34" spans="2:9" ht="15.75" customHeight="1" x14ac:dyDescent="0.2"/>
    <row r="35" spans="2:9" ht="15.75" customHeight="1" x14ac:dyDescent="0.2"/>
    <row r="36" spans="2:9" ht="15.75" customHeight="1" x14ac:dyDescent="0.2"/>
    <row r="37" spans="2:9" ht="15.75" customHeight="1" x14ac:dyDescent="0.2"/>
    <row r="38" spans="2:9" ht="15.75" customHeight="1" x14ac:dyDescent="0.2"/>
    <row r="39" spans="2:9" ht="15.75" customHeight="1" x14ac:dyDescent="0.2"/>
    <row r="40" spans="2:9" ht="15.75" customHeight="1" x14ac:dyDescent="0.2"/>
    <row r="41" spans="2:9" ht="15.75" customHeight="1" x14ac:dyDescent="0.2"/>
    <row r="42" spans="2:9" ht="15.75" customHeight="1" x14ac:dyDescent="0.2"/>
    <row r="43" spans="2:9" ht="15.75" customHeight="1" x14ac:dyDescent="0.2"/>
    <row r="44" spans="2:9" ht="15.75" customHeight="1" x14ac:dyDescent="0.2"/>
    <row r="45" spans="2:9" ht="15.75" customHeight="1" x14ac:dyDescent="0.2"/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</sheetData>
  <mergeCells count="14">
    <mergeCell ref="C17:F17"/>
    <mergeCell ref="C18:F18"/>
    <mergeCell ref="C19:F19"/>
    <mergeCell ref="C23:F23"/>
    <mergeCell ref="C6:F6"/>
    <mergeCell ref="C7:F7"/>
    <mergeCell ref="C8:F8"/>
    <mergeCell ref="C12:F12"/>
    <mergeCell ref="C13:F13"/>
    <mergeCell ref="C27:F27"/>
    <mergeCell ref="C28:F28"/>
    <mergeCell ref="C32:F32"/>
    <mergeCell ref="C33:F33"/>
    <mergeCell ref="C24:F24"/>
  </mergeCells>
  <phoneticPr fontId="4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86"/>
  <sheetViews>
    <sheetView tabSelected="1" topLeftCell="C1" zoomScale="70" zoomScaleNormal="70" workbookViewId="0">
      <selection activeCell="C5" sqref="C5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23" ht="15.75" customHeight="1" x14ac:dyDescent="0.2"/>
    <row r="2" spans="1:23" ht="15.75" customHeight="1" x14ac:dyDescent="0.2"/>
    <row r="3" spans="1:23" ht="15.75" customHeight="1" x14ac:dyDescent="0.2">
      <c r="B3" s="3"/>
      <c r="C3" s="3" t="s">
        <v>19</v>
      </c>
      <c r="D3" s="3" t="s">
        <v>111</v>
      </c>
      <c r="E3" s="3" t="s">
        <v>110</v>
      </c>
      <c r="F3" s="3" t="s">
        <v>109</v>
      </c>
      <c r="G3" s="3" t="s">
        <v>108</v>
      </c>
      <c r="H3" s="3" t="s">
        <v>107</v>
      </c>
      <c r="I3" s="3" t="s">
        <v>106</v>
      </c>
      <c r="J3" s="3" t="s">
        <v>105</v>
      </c>
      <c r="K3" s="3" t="s">
        <v>104</v>
      </c>
      <c r="L3" s="3" t="s">
        <v>103</v>
      </c>
      <c r="M3" s="3" t="s">
        <v>102</v>
      </c>
      <c r="N3" s="3" t="s">
        <v>101</v>
      </c>
      <c r="O3" s="3" t="s">
        <v>100</v>
      </c>
      <c r="P3" s="3" t="s">
        <v>99</v>
      </c>
      <c r="Q3" s="3" t="s">
        <v>98</v>
      </c>
      <c r="R3" s="3" t="s">
        <v>24</v>
      </c>
      <c r="S3" s="3" t="s">
        <v>25</v>
      </c>
      <c r="T3" s="3" t="s">
        <v>26</v>
      </c>
      <c r="U3" s="3" t="s">
        <v>27</v>
      </c>
      <c r="V3" s="3" t="s">
        <v>28</v>
      </c>
      <c r="W3" s="3" t="s">
        <v>29</v>
      </c>
    </row>
    <row r="4" spans="1:23" ht="15.75" customHeight="1" x14ac:dyDescent="0.2">
      <c r="B4" s="2" t="s">
        <v>20</v>
      </c>
      <c r="C4" s="5">
        <v>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0</v>
      </c>
      <c r="W4" s="6">
        <f>SUM(D4:V4)</f>
        <v>5</v>
      </c>
    </row>
    <row r="5" spans="1:23" ht="15.75" customHeight="1" x14ac:dyDescent="0.2">
      <c r="B5" s="2" t="s">
        <v>22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1</v>
      </c>
      <c r="Q5" s="4">
        <v>1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6">
        <f>SUM(D5:V5)</f>
        <v>3</v>
      </c>
    </row>
    <row r="6" spans="1:23" ht="15.75" customHeight="1" x14ac:dyDescent="0.2">
      <c r="A6" s="3"/>
      <c r="B6" s="2" t="s">
        <v>23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6">
        <f>SUM(D6:V6)</f>
        <v>3</v>
      </c>
    </row>
    <row r="7" spans="1:23" ht="15.75" customHeight="1" x14ac:dyDescent="0.2"/>
    <row r="8" spans="1:23" ht="15.75" customHeight="1" x14ac:dyDescent="0.2">
      <c r="B8" s="2" t="s">
        <v>47</v>
      </c>
      <c r="C8" s="5">
        <v>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1</v>
      </c>
      <c r="Q8" s="4">
        <v>1</v>
      </c>
      <c r="R8" s="4">
        <v>1</v>
      </c>
      <c r="S8" s="4">
        <v>0</v>
      </c>
      <c r="T8" s="4">
        <v>0</v>
      </c>
      <c r="U8" s="4">
        <v>1</v>
      </c>
      <c r="V8" s="4">
        <v>0</v>
      </c>
      <c r="W8" s="6">
        <f>SUM(D8:V8)</f>
        <v>5</v>
      </c>
    </row>
    <row r="9" spans="1:23" ht="15.75" customHeight="1" x14ac:dyDescent="0.2">
      <c r="B9" s="2" t="s">
        <v>48</v>
      </c>
      <c r="C9" s="5">
        <v>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1</v>
      </c>
      <c r="O9" s="4">
        <v>0</v>
      </c>
      <c r="P9" s="4">
        <v>0</v>
      </c>
      <c r="Q9" s="4">
        <v>0</v>
      </c>
      <c r="R9" s="4">
        <v>2</v>
      </c>
      <c r="S9" s="4">
        <v>1</v>
      </c>
      <c r="T9" s="4">
        <v>1</v>
      </c>
      <c r="U9" s="4">
        <v>1</v>
      </c>
      <c r="V9" s="4">
        <v>0</v>
      </c>
      <c r="W9" s="6">
        <f>SUM(D9:V9)</f>
        <v>6</v>
      </c>
    </row>
    <row r="10" spans="1:23" ht="15.75" customHeight="1" x14ac:dyDescent="0.2"/>
    <row r="11" spans="1:23" ht="15.75" customHeight="1" x14ac:dyDescent="0.2">
      <c r="B11" s="2" t="s">
        <v>53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2</v>
      </c>
      <c r="T11" s="4">
        <v>1</v>
      </c>
      <c r="U11" s="4">
        <v>0</v>
      </c>
      <c r="V11" s="4">
        <v>0</v>
      </c>
      <c r="W11" s="6">
        <f>SUM(D11:V11)</f>
        <v>3</v>
      </c>
    </row>
    <row r="12" spans="1:23" ht="15.75" customHeight="1" x14ac:dyDescent="0.2">
      <c r="B12" s="2" t="s">
        <v>54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2</v>
      </c>
      <c r="S12" s="4">
        <v>1</v>
      </c>
      <c r="T12" s="4">
        <v>0</v>
      </c>
      <c r="U12" s="4">
        <v>1</v>
      </c>
      <c r="V12" s="4">
        <v>0</v>
      </c>
      <c r="W12" s="6">
        <f>SUM(D12:V12)</f>
        <v>4</v>
      </c>
    </row>
    <row r="13" spans="1:23" ht="15.75" customHeight="1" x14ac:dyDescent="0.2">
      <c r="B13" s="2" t="s">
        <v>55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4">
        <v>0</v>
      </c>
      <c r="Q13" s="4">
        <v>0</v>
      </c>
      <c r="R13" s="4">
        <v>1</v>
      </c>
      <c r="S13" s="4">
        <v>0</v>
      </c>
      <c r="T13" s="4">
        <v>1</v>
      </c>
      <c r="U13" s="4">
        <v>1</v>
      </c>
      <c r="V13" s="4">
        <v>0</v>
      </c>
      <c r="W13" s="6">
        <f>SUM(D13:V13)</f>
        <v>4</v>
      </c>
    </row>
    <row r="14" spans="1:23" ht="15.75" customHeight="1" x14ac:dyDescent="0.2"/>
    <row r="15" spans="1:23" ht="15.75" customHeight="1" x14ac:dyDescent="0.2">
      <c r="B15" s="2" t="s">
        <v>90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</v>
      </c>
      <c r="J15" s="4">
        <v>0</v>
      </c>
      <c r="K15" s="4">
        <v>1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0</v>
      </c>
      <c r="W15" s="6">
        <f>SUM(D15:V15)</f>
        <v>4</v>
      </c>
    </row>
    <row r="16" spans="1:23" ht="15.75" customHeight="1" x14ac:dyDescent="0.2">
      <c r="B16" s="2" t="s">
        <v>65</v>
      </c>
      <c r="C16" s="5">
        <v>3</v>
      </c>
      <c r="D16" s="4">
        <v>0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1</v>
      </c>
      <c r="K16" s="4">
        <v>0</v>
      </c>
      <c r="L16" s="4">
        <v>0</v>
      </c>
      <c r="M16" s="4">
        <v>1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6">
        <f>SUM(D16:V16)</f>
        <v>3</v>
      </c>
    </row>
    <row r="17" spans="2:23" ht="15.75" customHeight="1" x14ac:dyDescent="0.2"/>
    <row r="18" spans="2:23" ht="15.75" customHeight="1" x14ac:dyDescent="0.2">
      <c r="B18" s="2" t="s">
        <v>92</v>
      </c>
      <c r="C18" s="5">
        <v>5</v>
      </c>
      <c r="D18" s="4">
        <v>0</v>
      </c>
      <c r="E18" s="4">
        <v>1</v>
      </c>
      <c r="F18" s="4">
        <v>1</v>
      </c>
      <c r="G18" s="4">
        <v>0</v>
      </c>
      <c r="H18" s="4">
        <v>1</v>
      </c>
      <c r="I18" s="4">
        <v>0</v>
      </c>
      <c r="J18" s="4">
        <v>0</v>
      </c>
      <c r="K18" s="4">
        <v>0</v>
      </c>
      <c r="L18" s="4">
        <v>0</v>
      </c>
      <c r="M18" s="4">
        <v>2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6">
        <f>SUM(D18:V18)</f>
        <v>5</v>
      </c>
    </row>
    <row r="19" spans="2:23" ht="15.75" customHeight="1" x14ac:dyDescent="0.2">
      <c r="B19" s="2" t="s">
        <v>65</v>
      </c>
      <c r="C19" s="5">
        <v>5</v>
      </c>
      <c r="D19" s="4">
        <v>0</v>
      </c>
      <c r="E19" s="4">
        <v>0</v>
      </c>
      <c r="F19" s="4">
        <v>0</v>
      </c>
      <c r="G19" s="4">
        <v>2</v>
      </c>
      <c r="H19" s="4">
        <v>0</v>
      </c>
      <c r="I19" s="4">
        <v>1</v>
      </c>
      <c r="J19" s="4">
        <v>0</v>
      </c>
      <c r="K19" s="4">
        <v>0</v>
      </c>
      <c r="L19" s="4">
        <v>1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6">
        <f>SUM(D19:V19)</f>
        <v>5</v>
      </c>
    </row>
    <row r="20" spans="2:23" ht="15.75" customHeight="1" x14ac:dyDescent="0.2"/>
    <row r="21" spans="2:23" ht="15.75" customHeight="1" x14ac:dyDescent="0.2">
      <c r="B21" s="2" t="s">
        <v>64</v>
      </c>
      <c r="C21" s="5">
        <v>4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2</v>
      </c>
      <c r="L21" s="4">
        <v>0</v>
      </c>
      <c r="M21" s="4">
        <v>0</v>
      </c>
      <c r="N21" s="4">
        <v>1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6">
        <f>SUM(D21:V21)</f>
        <v>4</v>
      </c>
    </row>
    <row r="22" spans="2:23" ht="15.75" customHeight="1" x14ac:dyDescent="0.2"/>
    <row r="23" spans="2:23" ht="15.75" customHeight="1" x14ac:dyDescent="0.2"/>
    <row r="24" spans="2:23" ht="15.75" customHeight="1" x14ac:dyDescent="0.2"/>
    <row r="25" spans="2:23" ht="15.75" customHeight="1" x14ac:dyDescent="0.2"/>
    <row r="26" spans="2:23" ht="15.75" customHeight="1" x14ac:dyDescent="0.2"/>
    <row r="27" spans="2:23" ht="15.75" customHeight="1" x14ac:dyDescent="0.2"/>
    <row r="28" spans="2:23" ht="15.75" customHeight="1" x14ac:dyDescent="0.2">
      <c r="B28" s="7" t="s">
        <v>30</v>
      </c>
      <c r="C28">
        <f>SUM(C4:C21)</f>
        <v>58</v>
      </c>
      <c r="D28" s="3">
        <f>C28-SUM(D4:D6,D8:D9,D11:D13,D15:D16, D18:D19, D21)</f>
        <v>57</v>
      </c>
      <c r="E28" s="3">
        <f t="shared" ref="E28:U28" si="0">D28-SUM(E4:E6,E8:E9,E11:E13,E15:E16, E18:E19, E21)</f>
        <v>56</v>
      </c>
      <c r="F28" s="3">
        <f t="shared" si="0"/>
        <v>55</v>
      </c>
      <c r="G28" s="3">
        <f t="shared" si="0"/>
        <v>52</v>
      </c>
      <c r="H28" s="3">
        <f t="shared" si="0"/>
        <v>50</v>
      </c>
      <c r="I28" s="3">
        <f t="shared" si="0"/>
        <v>49</v>
      </c>
      <c r="J28" s="3">
        <f t="shared" si="0"/>
        <v>48</v>
      </c>
      <c r="K28" s="3">
        <f t="shared" si="0"/>
        <v>45</v>
      </c>
      <c r="L28" s="3">
        <f t="shared" si="0"/>
        <v>44</v>
      </c>
      <c r="M28" s="3">
        <f>L28-SUM(M4:M6,M8:M9,M11:M13,M15:M16, M18:M19, M21)</f>
        <v>39</v>
      </c>
      <c r="N28" s="3">
        <f t="shared" si="0"/>
        <v>36</v>
      </c>
      <c r="O28" s="3">
        <f>N28-SUM(O4:O6,O8:O9,O11:O13,O15:O16, O18:O19, O21)</f>
        <v>33</v>
      </c>
      <c r="P28" s="3">
        <f t="shared" si="0"/>
        <v>29</v>
      </c>
      <c r="Q28" s="3">
        <f>P28-SUM(Q4:Q6,Q8:Q9,Q11:Q13,Q15:Q16, Q18:Q19, Q21)</f>
        <v>27</v>
      </c>
      <c r="R28" s="3">
        <f t="shared" si="0"/>
        <v>20</v>
      </c>
      <c r="S28" s="3">
        <f t="shared" si="0"/>
        <v>14</v>
      </c>
      <c r="T28" s="3">
        <f t="shared" si="0"/>
        <v>9</v>
      </c>
      <c r="U28" s="3">
        <f t="shared" si="0"/>
        <v>4</v>
      </c>
      <c r="V28" s="3">
        <f>U28-SUM(V4:V6,V8:V9,V11:V13,V15:V16, V18:V19, V21)</f>
        <v>4</v>
      </c>
    </row>
    <row r="29" spans="2:23" ht="15.75" customHeight="1" x14ac:dyDescent="0.2">
      <c r="B29" s="7" t="s">
        <v>31</v>
      </c>
      <c r="C29">
        <f>SUM(C4:C21)</f>
        <v>58</v>
      </c>
      <c r="D29" s="31">
        <f>C29-(SUM($C$4:$C$6,$C$8:$C$9,$C$11:$C$13,$C$15:$C$16,$C$18:$C$19:$C$21)/19)</f>
        <v>54.94736842105263</v>
      </c>
      <c r="E29" s="31">
        <f>D29-(SUM($C$4:$C$6,$C$8:$C$9,$C$11:$C$13,$C$15:$C$16,$C$18:$C$19:$C$21)/19)</f>
        <v>51.89473684210526</v>
      </c>
      <c r="F29" s="31">
        <f>E29-(SUM($C$4:$C$6,$C$8:$C$9,$C$11:$C$13,$C$15:$C$16,$C$18:$C$19:$C$21)/19)</f>
        <v>48.84210526315789</v>
      </c>
      <c r="G29" s="31">
        <f>F29-(SUM($C$4:$C$6,$C$8:$C$9,$C$11:$C$13,$C$15:$C$16,$C$18:$C$19:$C$21)/19)</f>
        <v>45.78947368421052</v>
      </c>
      <c r="H29" s="31">
        <f>G29-(SUM($C$4:$C$6,$C$8:$C$9,$C$11:$C$13,$C$15:$C$16,$C$18:$C$19:$C$21)/19)</f>
        <v>42.73684210526315</v>
      </c>
      <c r="I29" s="31">
        <f>H29-(SUM($C$4:$C$6,$C$8:$C$9,$C$11:$C$13,$C$15:$C$16,$C$18:$C$19:$C$21)/19)</f>
        <v>39.68421052631578</v>
      </c>
      <c r="J29" s="31">
        <f>I29-(SUM($C$4:$C$6,$C$8:$C$9,$C$11:$C$13,$C$15:$C$16,$C$18:$C$19:$C$21)/19)</f>
        <v>36.631578947368411</v>
      </c>
      <c r="K29" s="31">
        <f>J29-(SUM($C$4:$C$6,$C$8:$C$9,$C$11:$C$13,$C$15:$C$16,$C$18:$C$19:$C$21)/19)</f>
        <v>33.578947368421041</v>
      </c>
      <c r="L29" s="31">
        <f>K29-(SUM($C$4:$C$6,$C$8:$C$9,$C$11:$C$13,$C$15:$C$16,$C$18:$C$19:$C$21)/19)</f>
        <v>30.526315789473671</v>
      </c>
      <c r="M29" s="31">
        <f>L29-(SUM($C$4:$C$6,$C$8:$C$9,$C$11:$C$13,$C$15:$C$16,$C$18:$C$19:$C$21)/19)</f>
        <v>27.473684210526301</v>
      </c>
      <c r="N29" s="31">
        <f>M29-(SUM($C$4:$C$6,$C$8:$C$9,$C$11:$C$13,$C$15:$C$16,$C$18:$C$19:$C$21)/19)</f>
        <v>24.421052631578931</v>
      </c>
      <c r="O29" s="31">
        <f>N29-(SUM($C$4:$C$6,$C$8:$C$9,$C$11:$C$13,$C$15:$C$16,$C$18:$C$19:$C$21)/19)</f>
        <v>21.368421052631561</v>
      </c>
      <c r="P29" s="31">
        <f>O29-(SUM($C$4:$C$6,$C$8:$C$9,$C$11:$C$13,$C$15:$C$16,$C$18:$C$19:$C$21)/19)</f>
        <v>18.315789473684191</v>
      </c>
      <c r="Q29" s="31">
        <f>P29-(SUM($C$4:$C$6,$C$8:$C$9,$C$11:$C$13,$C$15:$C$16,$C$18:$C$19:$C$21)/19)</f>
        <v>15.263157894736823</v>
      </c>
      <c r="R29" s="31">
        <f>Q29-(SUM($C$4:$C$6,$C$8:$C$9,$C$11:$C$13,$C$15:$C$16,$C$18:$C$19:$C$21)/19)</f>
        <v>12.210526315789455</v>
      </c>
      <c r="S29" s="31">
        <f>R29-(SUM($C$4:$C$6,$C$8:$C$9,$C$11:$C$13,$C$15:$C$16,$C$18:$C$19:$C$21)/19)</f>
        <v>9.1578947368420867</v>
      </c>
      <c r="T29" s="31">
        <f>S29-(SUM($C$4:$C$6,$C$8:$C$9,$C$11:$C$13,$C$15:$C$16,$C$18:$C$19:$C$21)/19)</f>
        <v>6.1052631578947185</v>
      </c>
      <c r="U29" s="31">
        <f>T29-(SUM($C$4:$C$6,$C$8:$C$9,$C$11:$C$13,$C$15:$C$16,$C$18:$C$19:$C$21)/19)</f>
        <v>3.0526315789473499</v>
      </c>
      <c r="V29" s="31">
        <f>U29-(SUM($C$4:$C$6,$C$8:$C$9,$C$11:$C$13,$C$15:$C$16,$C$18:$C$19:$C$21)/19)</f>
        <v>-1.865174681370263E-14</v>
      </c>
    </row>
    <row r="30" spans="2:23" ht="15.75" customHeight="1" x14ac:dyDescent="0.2"/>
    <row r="31" spans="2:23" ht="15.75" customHeight="1" x14ac:dyDescent="0.2"/>
    <row r="32" spans="2:23" ht="15.75" customHeight="1" x14ac:dyDescent="0.2"/>
    <row r="33" spans="2:9" ht="15.75" customHeight="1" x14ac:dyDescent="0.2">
      <c r="B33" s="24"/>
      <c r="C33" s="25"/>
      <c r="D33" s="25"/>
      <c r="E33" s="25"/>
      <c r="F33" s="25"/>
      <c r="G33" s="25"/>
      <c r="H33" s="25"/>
      <c r="I33" s="26"/>
    </row>
    <row r="34" spans="2:9" ht="15.75" customHeight="1" x14ac:dyDescent="0.2">
      <c r="B34" s="26"/>
      <c r="C34" s="26"/>
      <c r="D34" s="26"/>
      <c r="E34" s="26"/>
      <c r="F34" s="26"/>
      <c r="G34" s="26"/>
      <c r="H34" s="26"/>
      <c r="I34" s="26"/>
    </row>
    <row r="35" spans="2:9" ht="15.75" customHeight="1" x14ac:dyDescent="0.2">
      <c r="B35" s="24"/>
      <c r="C35" s="25"/>
      <c r="D35" s="25"/>
      <c r="E35" s="25"/>
      <c r="F35" s="25"/>
      <c r="G35" s="25"/>
      <c r="H35" s="25"/>
      <c r="I35" s="26"/>
    </row>
    <row r="36" spans="2:9" ht="15.75" customHeight="1" x14ac:dyDescent="0.2">
      <c r="B36" s="24"/>
      <c r="C36" s="25"/>
      <c r="D36" s="25"/>
      <c r="E36" s="25"/>
      <c r="F36" s="25"/>
      <c r="G36" s="25"/>
      <c r="H36" s="25"/>
      <c r="I36" s="26"/>
    </row>
    <row r="37" spans="2:9" ht="15.75" customHeight="1" x14ac:dyDescent="0.2"/>
    <row r="38" spans="2:9" ht="15.75" customHeight="1" x14ac:dyDescent="0.2">
      <c r="B38" s="37" t="s">
        <v>32</v>
      </c>
      <c r="C38" s="37"/>
      <c r="D38" s="37"/>
      <c r="E38" s="37"/>
      <c r="F38" s="37"/>
      <c r="G38" s="37"/>
    </row>
    <row r="39" spans="2:9" ht="15.75" customHeight="1" x14ac:dyDescent="0.2">
      <c r="B39" s="37"/>
      <c r="C39" s="37"/>
      <c r="D39" s="37"/>
      <c r="E39" s="37"/>
      <c r="F39" s="37"/>
      <c r="G39" s="37"/>
    </row>
    <row r="40" spans="2:9" ht="15.75" customHeight="1" x14ac:dyDescent="0.2">
      <c r="B40" s="37"/>
      <c r="C40" s="37"/>
      <c r="D40" s="37"/>
      <c r="E40" s="37"/>
      <c r="F40" s="37"/>
      <c r="G40" s="37"/>
    </row>
    <row r="41" spans="2:9" ht="15.75" customHeight="1" x14ac:dyDescent="0.2">
      <c r="B41" s="37"/>
      <c r="C41" s="37"/>
      <c r="D41" s="37"/>
      <c r="E41" s="37"/>
      <c r="F41" s="37"/>
      <c r="G41" s="37"/>
    </row>
    <row r="42" spans="2:9" ht="15.75" customHeight="1" x14ac:dyDescent="0.2">
      <c r="B42" s="37"/>
      <c r="C42" s="37"/>
      <c r="D42" s="37"/>
      <c r="E42" s="37"/>
      <c r="F42" s="37"/>
      <c r="G42" s="37"/>
    </row>
    <row r="43" spans="2:9" ht="15.75" customHeight="1" x14ac:dyDescent="0.2">
      <c r="B43" s="37"/>
      <c r="C43" s="37"/>
      <c r="D43" s="37"/>
      <c r="E43" s="37"/>
      <c r="F43" s="37"/>
      <c r="G43" s="37"/>
    </row>
    <row r="44" spans="2:9" ht="15.75" customHeight="1" x14ac:dyDescent="0.2">
      <c r="B44" s="37"/>
      <c r="C44" s="37"/>
      <c r="D44" s="37"/>
      <c r="E44" s="37"/>
      <c r="F44" s="37"/>
      <c r="G44" s="37"/>
    </row>
    <row r="45" spans="2:9" ht="15.75" customHeight="1" x14ac:dyDescent="0.2">
      <c r="B45" s="37"/>
      <c r="C45" s="37"/>
      <c r="D45" s="37"/>
      <c r="E45" s="37"/>
      <c r="F45" s="37"/>
      <c r="G45" s="37"/>
    </row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mergeCells count="1">
    <mergeCell ref="B38:G45"/>
  </mergeCells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2023-06-05T13:12:31Z</dcterms:created>
  <dcterms:modified xsi:type="dcterms:W3CDTF">2025-07-16T02:35:45Z</dcterms:modified>
</cp:coreProperties>
</file>