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bookViews>
    <workbookView xWindow="0" yWindow="0" windowWidth="22650" windowHeight="10215" activeTab="2"/>
  </bookViews>
  <sheets>
    <sheet name="BACKLOG" sheetId="1" r:id="rId1"/>
    <sheet name="SPRINT 0" sheetId="2" r:id="rId2"/>
    <sheet name="BURDONCHART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3" l="1"/>
  <c r="C28" i="3"/>
  <c r="D29" i="3" l="1"/>
  <c r="E29" i="3" s="1"/>
  <c r="F29" i="3" s="1"/>
  <c r="G29" i="3" s="1"/>
  <c r="H29" i="3" s="1"/>
  <c r="I29" i="3" s="1"/>
  <c r="J29" i="3" s="1"/>
  <c r="K29" i="3" s="1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AG29" i="3" s="1"/>
  <c r="D28" i="3"/>
  <c r="E28" i="3" s="1"/>
  <c r="F28" i="3" s="1"/>
  <c r="G28" i="3" s="1"/>
  <c r="H28" i="3" s="1"/>
  <c r="I28" i="3" s="1"/>
  <c r="J28" i="3" s="1"/>
  <c r="K28" i="3" s="1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AG28" i="3" s="1"/>
  <c r="AH4" i="3" l="1"/>
  <c r="AH21" i="3"/>
  <c r="AH19" i="3"/>
  <c r="AH18" i="3"/>
  <c r="AH16" i="3" l="1"/>
  <c r="AH15" i="3"/>
  <c r="AH13" i="3"/>
  <c r="AH12" i="3"/>
  <c r="AH11" i="3"/>
  <c r="AH9" i="3"/>
  <c r="AH8" i="3"/>
  <c r="AH5" i="3" l="1"/>
  <c r="AH6" i="3"/>
</calcChain>
</file>

<file path=xl/sharedStrings.xml><?xml version="1.0" encoding="utf-8"?>
<sst xmlns="http://schemas.openxmlformats.org/spreadsheetml/2006/main" count="254" uniqueCount="137">
  <si>
    <t>t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</si>
  <si>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</si>
  <si>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</si>
  <si>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</si>
  <si>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</si>
  <si>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</si>
  <si>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</si>
  <si>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</si>
  <si>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</si>
  <si>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Ingresar al sistema</t>
  </si>
  <si>
    <t>Iniciar sesión y gestionar la informacion del sistema</t>
  </si>
  <si>
    <t>Alta</t>
  </si>
  <si>
    <t>ID</t>
  </si>
  <si>
    <t>Necesito</t>
  </si>
  <si>
    <t>así podre...</t>
  </si>
  <si>
    <t>Prioridad</t>
  </si>
  <si>
    <t>Status</t>
  </si>
  <si>
    <t>Tareas</t>
  </si>
  <si>
    <t>Asignado</t>
  </si>
  <si>
    <t>Estimado</t>
  </si>
  <si>
    <t>REQ001-1</t>
  </si>
  <si>
    <t>Crear un formulario para iniciar sesión.</t>
  </si>
  <si>
    <t>REQ001-2</t>
  </si>
  <si>
    <t>REQ001-3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</si>
  <si>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</si>
  <si>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</si>
  <si>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</si>
  <si>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</si>
  <si>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</si>
  <si>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</si>
  <si>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</si>
  <si>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</si>
  <si>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Durante el proceso de desarrollo del producto software,CONCLUSION DEL ESFUERZO CALCULADO</t>
  </si>
  <si>
    <t>Administrador/Cliente</t>
  </si>
  <si>
    <t>REQ002</t>
  </si>
  <si>
    <t>Ingreso por Credenciales</t>
  </si>
  <si>
    <t>Registro de Intervencion por Movil u Ordenador</t>
  </si>
  <si>
    <t>Permitir el ingreso de datos</t>
  </si>
  <si>
    <t>Automatizar el proceso de recolección de datos</t>
  </si>
  <si>
    <t>REQ003</t>
  </si>
  <si>
    <t>REQ006</t>
  </si>
  <si>
    <t>Generación Automatica de Reportes</t>
  </si>
  <si>
    <t>Automatizar la creación de reportes tecnicos</t>
  </si>
  <si>
    <t>Generar Automaticamente un documento PDF al finalizar la intervención</t>
  </si>
  <si>
    <t>Interfaz Amigable</t>
  </si>
  <si>
    <t>Facilitar el uso de la plataforma en el Campo</t>
  </si>
  <si>
    <t>Navegar sin conocimiento previo y llenar de forma rapida y sencilla formularios</t>
  </si>
  <si>
    <t>REQ002-1</t>
  </si>
  <si>
    <t>REQ002-2</t>
  </si>
  <si>
    <t>Registro de datos de intervención en la base de datos.</t>
  </si>
  <si>
    <t>Crear una interfaz para el ingredo de datos.</t>
  </si>
  <si>
    <t>Sebastian Medina</t>
  </si>
  <si>
    <t xml:space="preserve">Asignado </t>
  </si>
  <si>
    <t>REQ003-1</t>
  </si>
  <si>
    <t>REQ003-2</t>
  </si>
  <si>
    <t>REQ003-3</t>
  </si>
  <si>
    <t>Almacenamiento de inicio de sesión en base de datos.</t>
  </si>
  <si>
    <t>Validación de inicio de sesión en la base de datos</t>
  </si>
  <si>
    <t>Digitalización de formulario previamente dado por el cliente</t>
  </si>
  <si>
    <t>automatización de posibles respuestas dentro del formulario</t>
  </si>
  <si>
    <t>Guardado de reporte en formato pdf en la base de datos</t>
  </si>
  <si>
    <t>Roberto Ramirez</t>
  </si>
  <si>
    <t xml:space="preserve">Tareas </t>
  </si>
  <si>
    <t xml:space="preserve">Estimado </t>
  </si>
  <si>
    <t>REQ006-1</t>
  </si>
  <si>
    <t>Analizar posibles pestañas necesarias dentro de la interfaz</t>
  </si>
  <si>
    <t>Crear apartados intuitivos que faciliten la navegacion por la interfaz</t>
  </si>
  <si>
    <t>REQ004</t>
  </si>
  <si>
    <t>REQ005</t>
  </si>
  <si>
    <t xml:space="preserve">Ingreso de nuevos datos </t>
  </si>
  <si>
    <t>Usuario</t>
  </si>
  <si>
    <t xml:space="preserve">Usuario </t>
  </si>
  <si>
    <t xml:space="preserve">Nuevos campos para ingreso de datos </t>
  </si>
  <si>
    <t xml:space="preserve">Añadir mayor información a los reportes que resultesn útil para el cliente y sus beneficiarios </t>
  </si>
  <si>
    <t xml:space="preserve">Media </t>
  </si>
  <si>
    <t>Finalizado</t>
  </si>
  <si>
    <t xml:space="preserve">Finalizado </t>
  </si>
  <si>
    <t>Media</t>
  </si>
  <si>
    <t xml:space="preserve">Creación de nuevos campos de ingreso de datos dentro del formulario </t>
  </si>
  <si>
    <t>Creación de nuevo apartado dentro de la base de datos para obtener información acerca de productos</t>
  </si>
  <si>
    <t xml:space="preserve">Gonzalo Zavala </t>
  </si>
  <si>
    <t xml:space="preserve">Sebastian Medina </t>
  </si>
  <si>
    <t xml:space="preserve">Validación de Datos dentro del formulario </t>
  </si>
  <si>
    <t>Administrador</t>
  </si>
  <si>
    <t>Validar los datos a ingresar dentro del formulario</t>
  </si>
  <si>
    <t xml:space="preserve">Administrador </t>
  </si>
  <si>
    <t>Obtener un mayor control y evitar errores futuros para el cliente</t>
  </si>
  <si>
    <t xml:space="preserve">Obtener un mayor control y evitar errores futuros para el cliente </t>
  </si>
  <si>
    <t xml:space="preserve">Alta </t>
  </si>
  <si>
    <t>REQ004-1</t>
  </si>
  <si>
    <t>REQ004-2</t>
  </si>
  <si>
    <t>REQ005-1</t>
  </si>
  <si>
    <t>REQ005-2</t>
  </si>
  <si>
    <t xml:space="preserve">Creación de validaciones para elementos del formulario (fecha, ingreso de usuarios, creación de usuarios) </t>
  </si>
  <si>
    <t>SPRINT 1</t>
  </si>
  <si>
    <t>SPRINT 2</t>
  </si>
  <si>
    <t xml:space="preserve">Añadir mayor información a los reportes que resulten útil para el cliente y sus beneficiarios 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</si>
  <si>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</si>
  <si>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</si>
  <si>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</si>
  <si>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</si>
  <si>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</si>
  <si>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</si>
  <si>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</si>
  <si>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</si>
  <si>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</si>
  <si>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Día 15</t>
  </si>
  <si>
    <t>Día 16</t>
  </si>
  <si>
    <t>Día17</t>
  </si>
  <si>
    <t>Día 18</t>
  </si>
  <si>
    <t>Día 19</t>
  </si>
  <si>
    <t>SPRINT 3</t>
  </si>
  <si>
    <t>REQ007</t>
  </si>
  <si>
    <t>REQ008</t>
  </si>
  <si>
    <t xml:space="preserve">Subgrupo de los campos existentes </t>
  </si>
  <si>
    <t xml:space="preserve">Detallamiento de rutas utiles para el desempeño del trabajo del cliente </t>
  </si>
  <si>
    <t>Adición de subgrupos al exporte del reporte</t>
  </si>
  <si>
    <t xml:space="preserve">Subgrupo desplegable al elegir un campo específico </t>
  </si>
  <si>
    <t xml:space="preserve">Constancia de nuevos datos dentro del reporte exportado </t>
  </si>
  <si>
    <t>Constatar e imprimir en el formato elegido por el cliente los datos extraidos en el uso del reporte</t>
  </si>
  <si>
    <t>REQ007-1</t>
  </si>
  <si>
    <t>REQ008-1</t>
  </si>
  <si>
    <t>Creación de subcampos al elegir un tipo específico de plaga</t>
  </si>
  <si>
    <t xml:space="preserve">validación de subcampos y creación de dropdown para condiciones adicionales </t>
  </si>
  <si>
    <t xml:space="preserve">Adaptar el formato PDF para que pueda recibir los nnuevos campos añadidos </t>
  </si>
  <si>
    <t>Día 20</t>
  </si>
  <si>
    <t>Día 21</t>
  </si>
  <si>
    <t>Día 22</t>
  </si>
  <si>
    <t>Día 23</t>
  </si>
  <si>
    <t>Día 24</t>
  </si>
  <si>
    <t>Día 25</t>
  </si>
  <si>
    <t>Día 26</t>
  </si>
  <si>
    <t>Día 27</t>
  </si>
  <si>
    <t>Día 28</t>
  </si>
  <si>
    <t>Día 29</t>
  </si>
  <si>
    <t>Día 30</t>
  </si>
  <si>
    <t>REQ007-2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</si>
</sst>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8"/>
      <name val="Arial"/>
      <family val="2"/>
      <scheme val="minor"/>
    </font>
    <font>
      <b/>
      <sz val="12"/>
      <color rgb="FFFF0000"/>
      <name val="Arial"/>
      <family val="2"/>
    </font>
    <font>
      <sz val="12"/>
      <color rgb="FFFF0000"/>
      <name val="Arial"/>
      <family val="2"/>
      <scheme val="minor"/>
    </font>
    <font>
      <sz val="10"/>
      <color theme="4" tint="-0.249977111117893"/>
      <name val="Arial"/>
      <family val="2"/>
    </font>
    <font>
      <sz val="10"/>
      <color theme="4" tint="-0.249977111117893"/>
      <name val="Arial"/>
      <family val="2"/>
      <scheme val="minor"/>
    </font>
    <font>
      <b/>
      <sz val="10"/>
      <color theme="4" tint="-0.249977111117893"/>
      <name val="Arial"/>
      <family val="2"/>
    </font>
    <font>
      <sz val="8"/>
      <name val="Arial"/>
      <scheme val="minor"/>
    </font>
    <font>
      <sz val="11"/>
      <color theme="1"/>
      <name val="Arial"/>
    </font>
    <font>
      <sz val="10"/>
      <color rgb="FF0070C0"/>
      <name val="Arial"/>
      <family val="2"/>
    </font>
    <font>
      <sz val="10"/>
      <color rgb="FF0070C0"/>
      <name val="Arial"/>
      <family val="2"/>
      <scheme val="minor"/>
    </font>
    <font>
      <b/>
      <sz val="10"/>
      <color theme="4" tint="-0.249977111117893"/>
      <name val="Arial"/>
      <family val="2"/>
      <scheme val="minor"/>
    </font>
    <font>
      <sz val="10"/>
      <color theme="8" tint="-0.249977111117893"/>
      <name val="Arial"/>
      <family val="2"/>
    </font>
    <font>
      <sz val="10"/>
      <color theme="8" tint="-0.249977111117893"/>
      <name val="Arial"/>
      <family val="2"/>
      <scheme val="minor"/>
    </font>
    <font>
      <b/>
      <sz val="10"/>
      <color theme="8" tint="-0.249977111117893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1" fillId="0" borderId="1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3" fillId="4" borderId="1" xfId="0" applyFont="1" applyFill="1" applyBorder="1"/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12" fillId="0" borderId="0" xfId="0" applyFont="1"/>
    <xf numFmtId="0" fontId="12" fillId="0" borderId="0" xfId="0" applyFont="1" applyAlignment="1"/>
    <xf numFmtId="0" fontId="13" fillId="0" borderId="0" xfId="0" applyFont="1"/>
    <xf numFmtId="0" fontId="12" fillId="5" borderId="0" xfId="0" applyFont="1" applyFill="1"/>
    <xf numFmtId="0" fontId="12" fillId="5" borderId="0" xfId="0" applyFont="1" applyFill="1" applyAlignment="1"/>
    <xf numFmtId="0" fontId="13" fillId="5" borderId="0" xfId="0" applyFont="1" applyFill="1"/>
    <xf numFmtId="0" fontId="14" fillId="0" borderId="0" xfId="0" applyFont="1"/>
    <xf numFmtId="0" fontId="8" fillId="0" borderId="0" xfId="0" applyFont="1"/>
    <xf numFmtId="0" fontId="3" fillId="0" borderId="1" xfId="0" applyFont="1" applyFill="1" applyBorder="1"/>
    <xf numFmtId="0" fontId="3" fillId="0" borderId="0" xfId="0" applyFont="1" applyFill="1"/>
    <xf numFmtId="0" fontId="0" fillId="0" borderId="0" xfId="0" applyFill="1"/>
    <xf numFmtId="0" fontId="15" fillId="0" borderId="0" xfId="0" applyFont="1"/>
    <xf numFmtId="0" fontId="15" fillId="0" borderId="0" xfId="0" applyFont="1" applyAlignment="1">
      <alignment wrapText="1"/>
    </xf>
    <xf numFmtId="0" fontId="16" fillId="0" borderId="0" xfId="0" applyFont="1"/>
    <xf numFmtId="0" fontId="15" fillId="0" borderId="0" xfId="0" applyFont="1" applyAlignment="1">
      <alignment horizontal="left" vertical="center"/>
    </xf>
    <xf numFmtId="164" fontId="3" fillId="0" borderId="0" xfId="0" applyNumberFormat="1" applyFont="1"/>
    <xf numFmtId="0" fontId="8" fillId="0" borderId="0" xfId="0" applyFont="1"/>
    <xf numFmtId="0" fontId="14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2">
    <cellStyle name="Normal" xfId="0" builtinId="0"/>
    <cellStyle name="Normal 2" xfId="1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00FF00"/>
          <bgColor rgb="FF00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00FF00"/>
          <bgColor rgb="FF00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burdonchart-style" pivot="0" count="3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REQUERIMIENTOS</a:t>
            </a:r>
          </a:p>
        </c:rich>
      </c:tx>
      <c:layout>
        <c:manualLayout>
          <c:xMode val="edge"/>
          <c:yMode val="edge"/>
          <c:x val="0.7622919097729608"/>
          <c:y val="4.22084064997147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558171346424047E-2"/>
          <c:y val="1.6421018225114249E-2"/>
          <c:w val="0.93191790278551634"/>
          <c:h val="0.7618268406058164"/>
        </c:manualLayout>
      </c:layout>
      <c:lineChart>
        <c:grouping val="standard"/>
        <c:varyColors val="0"/>
        <c:ser>
          <c:idx val="0"/>
          <c:order val="0"/>
          <c:tx>
            <c:strRef>
              <c:f>BURDONCHART!$B$28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BURDONCHART!$C$28:$AG$28</c:f>
              <c:numCache>
                <c:formatCode>General</c:formatCode>
                <c:ptCount val="31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46</c:v>
                </c:pt>
                <c:pt idx="12">
                  <c:v>45</c:v>
                </c:pt>
                <c:pt idx="13">
                  <c:v>44</c:v>
                </c:pt>
                <c:pt idx="14">
                  <c:v>43</c:v>
                </c:pt>
                <c:pt idx="15">
                  <c:v>40</c:v>
                </c:pt>
                <c:pt idx="16">
                  <c:v>38</c:v>
                </c:pt>
                <c:pt idx="17">
                  <c:v>37</c:v>
                </c:pt>
                <c:pt idx="18">
                  <c:v>36</c:v>
                </c:pt>
                <c:pt idx="19">
                  <c:v>33</c:v>
                </c:pt>
                <c:pt idx="20">
                  <c:v>32</c:v>
                </c:pt>
                <c:pt idx="21">
                  <c:v>27</c:v>
                </c:pt>
                <c:pt idx="22">
                  <c:v>24</c:v>
                </c:pt>
                <c:pt idx="23">
                  <c:v>21</c:v>
                </c:pt>
                <c:pt idx="24">
                  <c:v>17</c:v>
                </c:pt>
                <c:pt idx="25">
                  <c:v>15</c:v>
                </c:pt>
                <c:pt idx="26">
                  <c:v>8</c:v>
                </c:pt>
                <c:pt idx="27">
                  <c:v>2</c:v>
                </c:pt>
                <c:pt idx="28">
                  <c:v>-3</c:v>
                </c:pt>
                <c:pt idx="29">
                  <c:v>-8</c:v>
                </c:pt>
                <c:pt idx="30">
                  <c:v>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3C-406F-9815-2B3C88F5CEB6}"/>
            </c:ext>
          </c:extLst>
        </c:ser>
        <c:ser>
          <c:idx val="1"/>
          <c:order val="1"/>
          <c:tx>
            <c:strRef>
              <c:f>BURDONCHART!$B$29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BURDONCHART!$C$29:$AG$29</c:f>
              <c:numCache>
                <c:formatCode>0.0</c:formatCode>
                <c:ptCount val="31"/>
                <c:pt idx="0" formatCode="General">
                  <c:v>70</c:v>
                </c:pt>
                <c:pt idx="1">
                  <c:v>67.666666666666671</c:v>
                </c:pt>
                <c:pt idx="2">
                  <c:v>65.333333333333343</c:v>
                </c:pt>
                <c:pt idx="3">
                  <c:v>63.000000000000007</c:v>
                </c:pt>
                <c:pt idx="4">
                  <c:v>60.666666666666671</c:v>
                </c:pt>
                <c:pt idx="5">
                  <c:v>58.333333333333336</c:v>
                </c:pt>
                <c:pt idx="6">
                  <c:v>56</c:v>
                </c:pt>
                <c:pt idx="7">
                  <c:v>53.666666666666664</c:v>
                </c:pt>
                <c:pt idx="8">
                  <c:v>51.333333333333329</c:v>
                </c:pt>
                <c:pt idx="9">
                  <c:v>48.999999999999993</c:v>
                </c:pt>
                <c:pt idx="10">
                  <c:v>46.666666666666657</c:v>
                </c:pt>
                <c:pt idx="11">
                  <c:v>44.333333333333321</c:v>
                </c:pt>
                <c:pt idx="12">
                  <c:v>41.999999999999986</c:v>
                </c:pt>
                <c:pt idx="13">
                  <c:v>39.66666666666665</c:v>
                </c:pt>
                <c:pt idx="14">
                  <c:v>37.333333333333314</c:v>
                </c:pt>
                <c:pt idx="15">
                  <c:v>34.999999999999979</c:v>
                </c:pt>
                <c:pt idx="16">
                  <c:v>32.666666666666643</c:v>
                </c:pt>
                <c:pt idx="17">
                  <c:v>30.333333333333311</c:v>
                </c:pt>
                <c:pt idx="18">
                  <c:v>27.999999999999979</c:v>
                </c:pt>
                <c:pt idx="19">
                  <c:v>25.666666666666647</c:v>
                </c:pt>
                <c:pt idx="20">
                  <c:v>23.333333333333314</c:v>
                </c:pt>
                <c:pt idx="21">
                  <c:v>20.999999999999982</c:v>
                </c:pt>
                <c:pt idx="22">
                  <c:v>18.66666666666665</c:v>
                </c:pt>
                <c:pt idx="23">
                  <c:v>16.333333333333318</c:v>
                </c:pt>
                <c:pt idx="24">
                  <c:v>13.999999999999984</c:v>
                </c:pt>
                <c:pt idx="25">
                  <c:v>11.66666666666665</c:v>
                </c:pt>
                <c:pt idx="26">
                  <c:v>9.3333333333333162</c:v>
                </c:pt>
                <c:pt idx="27">
                  <c:v>6.9999999999999822</c:v>
                </c:pt>
                <c:pt idx="28">
                  <c:v>4.6666666666666483</c:v>
                </c:pt>
                <c:pt idx="29">
                  <c:v>2.3333333333333148</c:v>
                </c:pt>
                <c:pt idx="30">
                  <c:v>-1.865174681370263E-14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3C-406F-9815-2B3C88F5C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0537856"/>
        <c:axId val="630532032"/>
      </c:lineChart>
      <c:catAx>
        <c:axId val="63053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532032"/>
        <c:crosses val="autoZero"/>
        <c:auto val="1"/>
        <c:lblAlgn val="ctr"/>
        <c:lblOffset val="100"/>
        <c:noMultiLvlLbl val="0"/>
      </c:catAx>
      <c:valAx>
        <c:axId val="63053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53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737847</xdr:colOff>
      <xdr:row>36</xdr:row>
      <xdr:rowOff>116681</xdr:rowOff>
    </xdr:from>
    <xdr:to>
      <xdr:col>20</xdr:col>
      <xdr:colOff>371134</xdr:colOff>
      <xdr:row>57</xdr:row>
      <xdr:rowOff>76879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D21E846-E4C5-47A2-9619-8767DF0BF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_1" displayName="Table_1" ref="AH4:AH6" headerRowCount="0" totalsRowShown="0">
  <tableColumns count="1">
    <tableColumn id="1" name="Column1" totalsRowDxfId="1">
      <calculatedColumnFormula>SUM(D4:AG4)</calculatedColumnFormula>
    </tableColumn>
  </tableColumns>
  <tableStyleInfo name="burdonchar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id="2" name="Table_13" displayName="Table_13" ref="AH8:AH10" headerRowCount="0" totalsRowShown="0">
  <tableColumns count="1">
    <tableColumn id="1" name="Column1" totalsRowDxfId="0">
      <calculatedColumnFormula>SUM(D8:AG8)</calculatedColumnFormula>
    </tableColumn>
  </tableColumns>
  <tableStyleInfo name="burdonchar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>
      <selection activeCell="B11" sqref="B11"/>
    </sheetView>
  </sheetViews>
  <sheetFormatPr baseColWidth="10" defaultColWidth="12.5703125" defaultRowHeight="15" customHeight="1" x14ac:dyDescent="0.2"/>
  <cols>
    <col min="1" max="1" width="12.42578125" customWidth="1"/>
    <col min="2" max="2" width="39.7109375" bestFit="1" customWidth="1"/>
    <col min="3" max="3" width="36" customWidth="1"/>
    <col min="4" max="4" width="37.7109375" bestFit="1" customWidth="1"/>
    <col min="5" max="5" width="66" bestFit="1" customWidth="1"/>
    <col min="6" max="26" width="12.42578125" customWidth="1"/>
  </cols>
  <sheetData>
    <row r="1" spans="1:8" s="9" customFormat="1" ht="15.75" customHeigh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 s="11" customFormat="1" ht="15.75" customHeight="1" x14ac:dyDescent="0.2">
      <c r="A2" s="33" t="s">
        <v>94</v>
      </c>
      <c r="B2" s="33"/>
      <c r="C2" s="33"/>
      <c r="D2" s="33"/>
      <c r="E2" s="33"/>
      <c r="F2" s="33"/>
      <c r="G2" s="33"/>
      <c r="H2" s="33"/>
    </row>
    <row r="3" spans="1:8" ht="15.75" customHeight="1" x14ac:dyDescent="0.2">
      <c r="A3" s="16" t="s">
        <v>8</v>
      </c>
      <c r="B3" s="16" t="s">
        <v>35</v>
      </c>
      <c r="C3" s="16" t="s">
        <v>33</v>
      </c>
      <c r="D3" s="17" t="s">
        <v>9</v>
      </c>
      <c r="E3" s="16" t="s">
        <v>10</v>
      </c>
      <c r="F3" s="18"/>
      <c r="G3" s="16" t="s">
        <v>11</v>
      </c>
      <c r="H3" s="16" t="s">
        <v>75</v>
      </c>
    </row>
    <row r="4" spans="1:8" ht="15.75" customHeight="1" x14ac:dyDescent="0.2">
      <c r="A4" s="16" t="s">
        <v>34</v>
      </c>
      <c r="B4" s="16" t="s">
        <v>36</v>
      </c>
      <c r="C4" s="16" t="s">
        <v>70</v>
      </c>
      <c r="D4" s="17" t="s">
        <v>37</v>
      </c>
      <c r="E4" s="16" t="s">
        <v>38</v>
      </c>
      <c r="F4" s="16"/>
      <c r="G4" s="16" t="s">
        <v>11</v>
      </c>
      <c r="H4" s="16" t="s">
        <v>75</v>
      </c>
    </row>
    <row r="5" spans="1:8" ht="15.75" customHeight="1" x14ac:dyDescent="0.2">
      <c r="A5" s="16" t="s">
        <v>39</v>
      </c>
      <c r="B5" s="16" t="s">
        <v>41</v>
      </c>
      <c r="C5" s="16" t="s">
        <v>71</v>
      </c>
      <c r="D5" s="17" t="s">
        <v>42</v>
      </c>
      <c r="E5" s="16" t="s">
        <v>43</v>
      </c>
      <c r="F5" s="18"/>
      <c r="G5" s="16" t="s">
        <v>11</v>
      </c>
      <c r="H5" s="16" t="s">
        <v>75</v>
      </c>
    </row>
    <row r="6" spans="1:8" s="29" customFormat="1" ht="13.9" customHeight="1" x14ac:dyDescent="0.2">
      <c r="A6" s="16" t="s">
        <v>67</v>
      </c>
      <c r="B6" s="16" t="s">
        <v>44</v>
      </c>
      <c r="C6" s="16" t="s">
        <v>71</v>
      </c>
      <c r="D6" s="17" t="s">
        <v>45</v>
      </c>
      <c r="E6" s="16" t="s">
        <v>46</v>
      </c>
      <c r="F6" s="18"/>
      <c r="G6" s="16" t="s">
        <v>11</v>
      </c>
      <c r="H6" s="16" t="s">
        <v>75</v>
      </c>
    </row>
    <row r="7" spans="1:8" ht="15.75" customHeight="1" x14ac:dyDescent="0.2">
      <c r="A7" s="34" t="s">
        <v>95</v>
      </c>
      <c r="B7" s="34"/>
      <c r="C7" s="34"/>
      <c r="D7" s="34"/>
      <c r="E7" s="34"/>
      <c r="F7" s="34"/>
      <c r="G7" s="34"/>
      <c r="H7" s="34"/>
    </row>
    <row r="8" spans="1:8" ht="25.5" x14ac:dyDescent="0.2">
      <c r="A8" s="27" t="s">
        <v>68</v>
      </c>
      <c r="B8" s="27" t="s">
        <v>69</v>
      </c>
      <c r="C8" s="27" t="s">
        <v>70</v>
      </c>
      <c r="D8" s="30" t="s">
        <v>72</v>
      </c>
      <c r="E8" s="28" t="s">
        <v>96</v>
      </c>
      <c r="F8" s="29"/>
      <c r="G8" s="27" t="s">
        <v>74</v>
      </c>
      <c r="H8" s="27" t="s">
        <v>75</v>
      </c>
    </row>
    <row r="9" spans="1:8" ht="15.75" customHeight="1" x14ac:dyDescent="0.2">
      <c r="A9" s="16" t="s">
        <v>40</v>
      </c>
      <c r="B9" s="27" t="s">
        <v>82</v>
      </c>
      <c r="C9" s="27" t="s">
        <v>83</v>
      </c>
      <c r="D9" s="27" t="s">
        <v>84</v>
      </c>
      <c r="E9" s="27" t="s">
        <v>86</v>
      </c>
      <c r="F9" s="29"/>
      <c r="G9" s="27" t="s">
        <v>11</v>
      </c>
      <c r="H9" s="27" t="s">
        <v>75</v>
      </c>
    </row>
    <row r="10" spans="1:8" ht="15.75" customHeight="1" x14ac:dyDescent="0.2">
      <c r="A10" s="34" t="s">
        <v>111</v>
      </c>
      <c r="B10" s="34"/>
      <c r="C10" s="34"/>
      <c r="D10" s="34"/>
      <c r="E10" s="34"/>
      <c r="F10" s="34"/>
      <c r="G10" s="34"/>
      <c r="H10" s="34"/>
    </row>
    <row r="11" spans="1:8" ht="15.75" customHeight="1" x14ac:dyDescent="0.2">
      <c r="A11" s="27" t="s">
        <v>112</v>
      </c>
      <c r="B11" s="27" t="s">
        <v>114</v>
      </c>
      <c r="C11" s="27" t="s">
        <v>83</v>
      </c>
      <c r="D11" s="30" t="s">
        <v>117</v>
      </c>
      <c r="E11" s="28" t="s">
        <v>115</v>
      </c>
      <c r="F11" s="29"/>
      <c r="G11" s="27" t="s">
        <v>11</v>
      </c>
      <c r="H11" s="27" t="s">
        <v>75</v>
      </c>
    </row>
    <row r="12" spans="1:8" ht="15.75" customHeight="1" x14ac:dyDescent="0.2">
      <c r="A12" s="16" t="s">
        <v>113</v>
      </c>
      <c r="B12" s="27" t="s">
        <v>116</v>
      </c>
      <c r="C12" s="27" t="s">
        <v>85</v>
      </c>
      <c r="D12" s="27" t="s">
        <v>118</v>
      </c>
      <c r="E12" s="27" t="s">
        <v>119</v>
      </c>
      <c r="F12" s="29"/>
      <c r="G12" s="27" t="s">
        <v>11</v>
      </c>
      <c r="H12" s="27" t="s">
        <v>75</v>
      </c>
    </row>
    <row r="13" spans="1:8" ht="15.75" customHeight="1" x14ac:dyDescent="0.2"/>
    <row r="14" spans="1:8" ht="15.75" customHeight="1" x14ac:dyDescent="0.2"/>
    <row r="15" spans="1:8" ht="15.75" customHeight="1" x14ac:dyDescent="0.2"/>
    <row r="16" spans="1: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2:H2"/>
    <mergeCell ref="A7:H7"/>
    <mergeCell ref="A10:H10"/>
  </mergeCells>
  <phoneticPr fontId="10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I970"/>
  <sheetViews>
    <sheetView topLeftCell="A25" workbookViewId="0">
      <selection activeCell="F41" sqref="F41"/>
    </sheetView>
  </sheetViews>
  <sheetFormatPr baseColWidth="10" defaultColWidth="12.5703125" defaultRowHeight="15" customHeight="1" x14ac:dyDescent="0.2"/>
  <cols>
    <col min="1" max="2" width="12.42578125" customWidth="1"/>
    <col min="3" max="3" width="31.28515625" customWidth="1"/>
    <col min="4" max="4" width="18.7109375" customWidth="1"/>
    <col min="5" max="5" width="37.7109375" bestFit="1" customWidth="1"/>
    <col min="6" max="6" width="56.28515625" customWidth="1"/>
    <col min="7" max="26" width="12.4257812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12</v>
      </c>
      <c r="C3" s="1" t="s">
        <v>1</v>
      </c>
      <c r="D3" s="1" t="s">
        <v>2</v>
      </c>
      <c r="E3" s="1" t="s">
        <v>13</v>
      </c>
      <c r="F3" s="1" t="s">
        <v>14</v>
      </c>
      <c r="G3" s="1" t="s">
        <v>5</v>
      </c>
      <c r="H3" s="1" t="s">
        <v>15</v>
      </c>
      <c r="I3" s="1" t="s">
        <v>16</v>
      </c>
    </row>
    <row r="4" spans="2:9" s="11" customFormat="1" ht="15.75" customHeight="1" x14ac:dyDescent="0.2">
      <c r="B4" s="19" t="s">
        <v>8</v>
      </c>
      <c r="C4" s="19" t="s">
        <v>35</v>
      </c>
      <c r="D4" s="19" t="s">
        <v>33</v>
      </c>
      <c r="E4" s="20" t="s">
        <v>9</v>
      </c>
      <c r="F4" s="19" t="s">
        <v>10</v>
      </c>
      <c r="G4" s="21"/>
      <c r="H4" s="19" t="s">
        <v>11</v>
      </c>
      <c r="I4" s="19" t="s">
        <v>76</v>
      </c>
    </row>
    <row r="5" spans="2:9" s="11" customFormat="1" ht="15.75" customHeight="1" x14ac:dyDescent="0.2">
      <c r="B5" s="10"/>
      <c r="C5" s="12" t="s">
        <v>17</v>
      </c>
      <c r="D5" s="10"/>
      <c r="E5" s="10"/>
      <c r="F5" s="10"/>
      <c r="G5" s="12" t="s">
        <v>18</v>
      </c>
      <c r="H5" s="10"/>
      <c r="I5" s="12" t="s">
        <v>19</v>
      </c>
    </row>
    <row r="6" spans="2:9" s="11" customFormat="1" ht="15.75" customHeight="1" x14ac:dyDescent="0.2">
      <c r="B6" s="10" t="s">
        <v>20</v>
      </c>
      <c r="C6" s="36" t="s">
        <v>21</v>
      </c>
      <c r="D6" s="37"/>
      <c r="E6" s="37"/>
      <c r="F6" s="37"/>
      <c r="G6" s="10" t="s">
        <v>51</v>
      </c>
      <c r="H6" s="10"/>
      <c r="I6" s="15">
        <v>5</v>
      </c>
    </row>
    <row r="7" spans="2:9" s="11" customFormat="1" ht="15.75" customHeight="1" x14ac:dyDescent="0.2">
      <c r="B7" s="10" t="s">
        <v>22</v>
      </c>
      <c r="C7" s="36" t="s">
        <v>56</v>
      </c>
      <c r="D7" s="37"/>
      <c r="E7" s="37"/>
      <c r="F7" s="37"/>
      <c r="G7" s="13" t="s">
        <v>51</v>
      </c>
      <c r="H7" s="10"/>
      <c r="I7" s="15">
        <v>3</v>
      </c>
    </row>
    <row r="8" spans="2:9" s="11" customFormat="1" ht="15.75" customHeight="1" x14ac:dyDescent="0.2">
      <c r="B8" s="10" t="s">
        <v>23</v>
      </c>
      <c r="C8" s="36" t="s">
        <v>57</v>
      </c>
      <c r="D8" s="37"/>
      <c r="E8" s="37"/>
      <c r="F8" s="37"/>
      <c r="G8" s="13" t="s">
        <v>51</v>
      </c>
      <c r="H8" s="10"/>
      <c r="I8" s="10">
        <v>3</v>
      </c>
    </row>
    <row r="9" spans="2:9" ht="15.75" customHeight="1" x14ac:dyDescent="0.2">
      <c r="B9" s="1"/>
      <c r="C9" s="1"/>
      <c r="D9" s="1"/>
      <c r="E9" s="1"/>
      <c r="F9" s="1"/>
      <c r="G9" s="1"/>
      <c r="H9" s="1"/>
      <c r="I9" s="1"/>
    </row>
    <row r="10" spans="2:9" ht="15.75" customHeight="1" x14ac:dyDescent="0.2">
      <c r="B10" s="19" t="s">
        <v>34</v>
      </c>
      <c r="C10" s="19" t="s">
        <v>36</v>
      </c>
      <c r="D10" s="19" t="s">
        <v>70</v>
      </c>
      <c r="E10" s="20" t="s">
        <v>37</v>
      </c>
      <c r="F10" s="19" t="s">
        <v>38</v>
      </c>
      <c r="G10" s="19"/>
      <c r="H10" s="19" t="s">
        <v>11</v>
      </c>
      <c r="I10" s="19" t="s">
        <v>76</v>
      </c>
    </row>
    <row r="11" spans="2:9" ht="15.75" customHeight="1" x14ac:dyDescent="0.2">
      <c r="B11" s="13"/>
      <c r="C11" s="12" t="s">
        <v>17</v>
      </c>
      <c r="D11" s="14"/>
      <c r="E11" s="14"/>
      <c r="F11" s="14"/>
      <c r="G11" s="12" t="s">
        <v>18</v>
      </c>
      <c r="H11" s="14"/>
      <c r="I11" s="15" t="s">
        <v>19</v>
      </c>
    </row>
    <row r="12" spans="2:9" ht="15.75" customHeight="1" x14ac:dyDescent="0.2">
      <c r="B12" s="14" t="s">
        <v>47</v>
      </c>
      <c r="C12" s="35" t="s">
        <v>50</v>
      </c>
      <c r="D12" s="35"/>
      <c r="E12" s="35"/>
      <c r="F12" s="35"/>
      <c r="G12" s="14" t="s">
        <v>51</v>
      </c>
      <c r="H12" s="14"/>
      <c r="I12" s="14">
        <v>5</v>
      </c>
    </row>
    <row r="13" spans="2:9" ht="15.75" customHeight="1" x14ac:dyDescent="0.2">
      <c r="B13" s="14" t="s">
        <v>48</v>
      </c>
      <c r="C13" s="35" t="s">
        <v>49</v>
      </c>
      <c r="D13" s="35"/>
      <c r="E13" s="35"/>
      <c r="F13" s="35"/>
      <c r="G13" s="14" t="s">
        <v>51</v>
      </c>
      <c r="H13" s="14"/>
      <c r="I13" s="14">
        <v>5</v>
      </c>
    </row>
    <row r="14" spans="2:9" ht="15.75" customHeight="1" x14ac:dyDescent="0.2">
      <c r="B14" s="18"/>
      <c r="C14" s="18"/>
      <c r="D14" s="18"/>
      <c r="E14" s="18"/>
      <c r="F14" s="18"/>
    </row>
    <row r="15" spans="2:9" ht="15.75" customHeight="1" x14ac:dyDescent="0.2">
      <c r="B15" s="19" t="s">
        <v>39</v>
      </c>
      <c r="C15" s="19" t="s">
        <v>41</v>
      </c>
      <c r="D15" s="19" t="s">
        <v>70</v>
      </c>
      <c r="E15" s="20" t="s">
        <v>42</v>
      </c>
      <c r="F15" s="19" t="s">
        <v>43</v>
      </c>
      <c r="G15" s="21"/>
      <c r="H15" s="19" t="s">
        <v>11</v>
      </c>
      <c r="I15" s="19" t="s">
        <v>76</v>
      </c>
    </row>
    <row r="16" spans="2:9" ht="15.75" customHeight="1" x14ac:dyDescent="0.2">
      <c r="B16" s="14"/>
      <c r="C16" s="22" t="s">
        <v>17</v>
      </c>
      <c r="D16" s="14"/>
      <c r="E16" s="14"/>
      <c r="F16" s="14"/>
      <c r="G16" s="22" t="s">
        <v>52</v>
      </c>
      <c r="H16" s="14"/>
      <c r="I16" s="22" t="s">
        <v>19</v>
      </c>
    </row>
    <row r="17" spans="2:9" ht="15.75" customHeight="1" x14ac:dyDescent="0.2">
      <c r="B17" s="14" t="s">
        <v>53</v>
      </c>
      <c r="C17" s="35" t="s">
        <v>58</v>
      </c>
      <c r="D17" s="35"/>
      <c r="E17" s="35"/>
      <c r="F17" s="35"/>
      <c r="G17" s="14" t="s">
        <v>61</v>
      </c>
      <c r="H17" s="14"/>
      <c r="I17" s="14">
        <v>4</v>
      </c>
    </row>
    <row r="18" spans="2:9" ht="15.75" customHeight="1" x14ac:dyDescent="0.2">
      <c r="B18" s="14" t="s">
        <v>54</v>
      </c>
      <c r="C18" s="35" t="s">
        <v>59</v>
      </c>
      <c r="D18" s="35"/>
      <c r="E18" s="35"/>
      <c r="F18" s="35"/>
      <c r="G18" s="14" t="s">
        <v>61</v>
      </c>
      <c r="H18" s="14"/>
      <c r="I18" s="14">
        <v>4</v>
      </c>
    </row>
    <row r="19" spans="2:9" ht="15.75" customHeight="1" x14ac:dyDescent="0.2">
      <c r="B19" s="14" t="s">
        <v>55</v>
      </c>
      <c r="C19" s="35" t="s">
        <v>60</v>
      </c>
      <c r="D19" s="35"/>
      <c r="E19" s="35"/>
      <c r="F19" s="35"/>
      <c r="G19" s="14" t="s">
        <v>61</v>
      </c>
      <c r="H19" s="14"/>
      <c r="I19" s="14">
        <v>4</v>
      </c>
    </row>
    <row r="20" spans="2:9" ht="15.75" customHeight="1" x14ac:dyDescent="0.2"/>
    <row r="21" spans="2:9" ht="15.75" customHeight="1" x14ac:dyDescent="0.2">
      <c r="B21" s="19" t="s">
        <v>67</v>
      </c>
      <c r="C21" s="19" t="s">
        <v>44</v>
      </c>
      <c r="D21" s="19" t="s">
        <v>71</v>
      </c>
      <c r="E21" s="20" t="s">
        <v>45</v>
      </c>
      <c r="F21" s="19" t="s">
        <v>46</v>
      </c>
      <c r="G21" s="21"/>
      <c r="H21" s="19" t="s">
        <v>11</v>
      </c>
      <c r="I21" s="19" t="s">
        <v>76</v>
      </c>
    </row>
    <row r="22" spans="2:9" ht="15.75" customHeight="1" x14ac:dyDescent="0.2">
      <c r="B22" s="14"/>
      <c r="C22" s="22" t="s">
        <v>62</v>
      </c>
      <c r="D22" s="14"/>
      <c r="E22" s="14"/>
      <c r="F22" s="14"/>
      <c r="G22" s="22" t="s">
        <v>52</v>
      </c>
      <c r="H22" s="14"/>
      <c r="I22" s="22" t="s">
        <v>63</v>
      </c>
    </row>
    <row r="23" spans="2:9" ht="15.75" customHeight="1" x14ac:dyDescent="0.2">
      <c r="B23" s="14" t="s">
        <v>89</v>
      </c>
      <c r="C23" s="35" t="s">
        <v>65</v>
      </c>
      <c r="D23" s="35"/>
      <c r="E23" s="35"/>
      <c r="F23" s="35"/>
      <c r="G23" s="14" t="s">
        <v>61</v>
      </c>
      <c r="H23" s="14"/>
      <c r="I23" s="14">
        <v>3</v>
      </c>
    </row>
    <row r="24" spans="2:9" ht="15.75" customHeight="1" x14ac:dyDescent="0.2">
      <c r="B24" s="14" t="s">
        <v>90</v>
      </c>
      <c r="C24" s="35" t="s">
        <v>66</v>
      </c>
      <c r="D24" s="35"/>
      <c r="E24" s="35"/>
      <c r="F24" s="35"/>
      <c r="G24" s="14" t="s">
        <v>61</v>
      </c>
      <c r="H24" s="14"/>
      <c r="I24" s="14">
        <v>3</v>
      </c>
    </row>
    <row r="25" spans="2:9" ht="15.75" customHeight="1" x14ac:dyDescent="0.2">
      <c r="B25" s="19" t="s">
        <v>68</v>
      </c>
      <c r="C25" s="19" t="s">
        <v>69</v>
      </c>
      <c r="D25" s="19" t="s">
        <v>71</v>
      </c>
      <c r="E25" s="20" t="s">
        <v>72</v>
      </c>
      <c r="F25" s="19" t="s">
        <v>73</v>
      </c>
      <c r="G25" s="21"/>
      <c r="H25" s="19" t="s">
        <v>77</v>
      </c>
      <c r="I25" s="19" t="s">
        <v>76</v>
      </c>
    </row>
    <row r="26" spans="2:9" ht="15.75" customHeight="1" x14ac:dyDescent="0.2">
      <c r="B26" s="23"/>
      <c r="C26" s="22" t="s">
        <v>62</v>
      </c>
      <c r="D26" s="23"/>
      <c r="E26" s="23"/>
      <c r="F26" s="23"/>
      <c r="G26" s="22" t="s">
        <v>52</v>
      </c>
      <c r="H26" s="23"/>
      <c r="I26" s="22" t="s">
        <v>63</v>
      </c>
    </row>
    <row r="27" spans="2:9" ht="15.75" customHeight="1" x14ac:dyDescent="0.2">
      <c r="B27" s="23" t="s">
        <v>91</v>
      </c>
      <c r="C27" s="35" t="s">
        <v>78</v>
      </c>
      <c r="D27" s="35"/>
      <c r="E27" s="35"/>
      <c r="F27" s="35"/>
      <c r="G27" s="23" t="s">
        <v>80</v>
      </c>
      <c r="H27" s="23"/>
      <c r="I27" s="23">
        <v>5</v>
      </c>
    </row>
    <row r="28" spans="2:9" ht="15.75" customHeight="1" x14ac:dyDescent="0.2">
      <c r="B28" s="23" t="s">
        <v>92</v>
      </c>
      <c r="C28" s="35" t="s">
        <v>79</v>
      </c>
      <c r="D28" s="35"/>
      <c r="E28" s="35"/>
      <c r="F28" s="35"/>
      <c r="G28" s="23" t="s">
        <v>81</v>
      </c>
      <c r="H28" s="23"/>
      <c r="I28" s="23">
        <v>5</v>
      </c>
    </row>
    <row r="29" spans="2:9" ht="15.75" customHeight="1" x14ac:dyDescent="0.2"/>
    <row r="30" spans="2:9" ht="15.75" customHeight="1" x14ac:dyDescent="0.2">
      <c r="B30" s="19" t="s">
        <v>40</v>
      </c>
      <c r="C30" s="19" t="s">
        <v>82</v>
      </c>
      <c r="D30" s="19" t="s">
        <v>85</v>
      </c>
      <c r="E30" s="20" t="s">
        <v>84</v>
      </c>
      <c r="F30" s="19" t="s">
        <v>87</v>
      </c>
      <c r="G30" s="21"/>
      <c r="H30" s="19" t="s">
        <v>88</v>
      </c>
      <c r="I30" s="19" t="s">
        <v>76</v>
      </c>
    </row>
    <row r="31" spans="2:9" ht="15.75" customHeight="1" x14ac:dyDescent="0.2">
      <c r="B31" s="23"/>
      <c r="C31" s="22" t="s">
        <v>62</v>
      </c>
      <c r="D31" s="23"/>
      <c r="E31" s="23"/>
      <c r="F31" s="23"/>
      <c r="G31" s="22" t="s">
        <v>52</v>
      </c>
      <c r="H31" s="23"/>
      <c r="I31" s="22" t="s">
        <v>63</v>
      </c>
    </row>
    <row r="32" spans="2:9" ht="15.75" customHeight="1" x14ac:dyDescent="0.2">
      <c r="B32" s="23" t="s">
        <v>64</v>
      </c>
      <c r="C32" s="35" t="s">
        <v>93</v>
      </c>
      <c r="D32" s="35"/>
      <c r="E32" s="35"/>
      <c r="F32" s="35"/>
      <c r="G32" s="23" t="s">
        <v>80</v>
      </c>
      <c r="H32" s="23"/>
      <c r="I32" s="23">
        <v>4</v>
      </c>
    </row>
    <row r="33" spans="2:9" ht="15.75" customHeight="1" x14ac:dyDescent="0.2">
      <c r="B33" s="19" t="s">
        <v>112</v>
      </c>
      <c r="C33" s="19" t="s">
        <v>114</v>
      </c>
      <c r="D33" s="19" t="s">
        <v>85</v>
      </c>
      <c r="E33" s="20" t="s">
        <v>117</v>
      </c>
      <c r="F33" s="19" t="s">
        <v>115</v>
      </c>
      <c r="G33" s="21"/>
      <c r="H33" s="19" t="s">
        <v>88</v>
      </c>
      <c r="I33" s="19" t="s">
        <v>76</v>
      </c>
    </row>
    <row r="34" spans="2:9" ht="15.75" customHeight="1" x14ac:dyDescent="0.2">
      <c r="B34" s="32"/>
      <c r="C34" s="22" t="s">
        <v>62</v>
      </c>
      <c r="D34" s="32"/>
      <c r="E34" s="32"/>
      <c r="F34" s="32"/>
      <c r="G34" s="22" t="s">
        <v>52</v>
      </c>
      <c r="H34" s="32"/>
      <c r="I34" s="22" t="s">
        <v>63</v>
      </c>
    </row>
    <row r="35" spans="2:9" ht="15.75" customHeight="1" x14ac:dyDescent="0.2">
      <c r="B35" s="32" t="s">
        <v>120</v>
      </c>
      <c r="C35" s="35" t="s">
        <v>122</v>
      </c>
      <c r="D35" s="35"/>
      <c r="E35" s="35"/>
      <c r="F35" s="35"/>
      <c r="G35" s="32" t="s">
        <v>80</v>
      </c>
      <c r="H35" s="32"/>
      <c r="I35" s="32">
        <v>4</v>
      </c>
    </row>
    <row r="36" spans="2:9" ht="15.75" customHeight="1" x14ac:dyDescent="0.2">
      <c r="B36" s="32" t="s">
        <v>136</v>
      </c>
      <c r="C36" s="35" t="s">
        <v>123</v>
      </c>
      <c r="D36" s="35"/>
      <c r="E36" s="35"/>
      <c r="F36" s="35"/>
      <c r="G36" s="32" t="s">
        <v>80</v>
      </c>
      <c r="H36" s="32"/>
      <c r="I36" s="32">
        <v>4</v>
      </c>
    </row>
    <row r="37" spans="2:9" ht="15.75" customHeight="1" x14ac:dyDescent="0.2">
      <c r="B37" s="19" t="s">
        <v>113</v>
      </c>
      <c r="C37" s="19" t="s">
        <v>116</v>
      </c>
      <c r="D37" s="19" t="s">
        <v>85</v>
      </c>
      <c r="E37" s="20" t="s">
        <v>118</v>
      </c>
      <c r="F37" s="19" t="s">
        <v>119</v>
      </c>
      <c r="G37" s="21"/>
      <c r="H37" s="19" t="s">
        <v>88</v>
      </c>
      <c r="I37" s="19" t="s">
        <v>76</v>
      </c>
    </row>
    <row r="38" spans="2:9" ht="15.75" customHeight="1" x14ac:dyDescent="0.2">
      <c r="B38" s="32"/>
      <c r="C38" s="22" t="s">
        <v>62</v>
      </c>
      <c r="D38" s="32"/>
      <c r="E38" s="32"/>
      <c r="F38" s="32"/>
      <c r="G38" s="22" t="s">
        <v>52</v>
      </c>
      <c r="H38" s="32"/>
      <c r="I38" s="22" t="s">
        <v>63</v>
      </c>
    </row>
    <row r="39" spans="2:9" ht="15.75" customHeight="1" x14ac:dyDescent="0.2">
      <c r="B39" s="32" t="s">
        <v>121</v>
      </c>
      <c r="C39" s="35" t="s">
        <v>124</v>
      </c>
      <c r="D39" s="35"/>
      <c r="E39" s="35"/>
      <c r="F39" s="35"/>
      <c r="G39" s="32" t="s">
        <v>80</v>
      </c>
      <c r="H39" s="32"/>
      <c r="I39" s="32">
        <v>4</v>
      </c>
    </row>
    <row r="40" spans="2:9" ht="15.75" customHeight="1" x14ac:dyDescent="0.2"/>
    <row r="41" spans="2:9" ht="15.75" customHeight="1" x14ac:dyDescent="0.2"/>
    <row r="42" spans="2:9" ht="15.75" customHeight="1" x14ac:dyDescent="0.2"/>
    <row r="43" spans="2:9" ht="15.75" customHeight="1" x14ac:dyDescent="0.2"/>
    <row r="44" spans="2:9" ht="15.75" customHeight="1" x14ac:dyDescent="0.2"/>
    <row r="45" spans="2:9" ht="15.75" customHeight="1" x14ac:dyDescent="0.2"/>
    <row r="46" spans="2:9" ht="15.75" customHeight="1" x14ac:dyDescent="0.2"/>
    <row r="47" spans="2:9" ht="15.75" customHeight="1" x14ac:dyDescent="0.2"/>
    <row r="48" spans="2:9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</sheetData>
  <mergeCells count="16">
    <mergeCell ref="C6:F6"/>
    <mergeCell ref="C7:F7"/>
    <mergeCell ref="C8:F8"/>
    <mergeCell ref="C12:F12"/>
    <mergeCell ref="C13:F13"/>
    <mergeCell ref="C24:F24"/>
    <mergeCell ref="C17:F17"/>
    <mergeCell ref="C18:F18"/>
    <mergeCell ref="C19:F19"/>
    <mergeCell ref="C23:F23"/>
    <mergeCell ref="C36:F36"/>
    <mergeCell ref="C39:F39"/>
    <mergeCell ref="C35:F35"/>
    <mergeCell ref="C27:F27"/>
    <mergeCell ref="C28:F28"/>
    <mergeCell ref="C32:F32"/>
  </mergeCells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986"/>
  <sheetViews>
    <sheetView tabSelected="1" topLeftCell="C7" zoomScaleNormal="100" workbookViewId="0">
      <selection activeCell="C30" sqref="C30"/>
    </sheetView>
  </sheetViews>
  <sheetFormatPr baseColWidth="10" defaultColWidth="12.5703125" defaultRowHeight="15" customHeight="1" x14ac:dyDescent="0.2"/>
  <cols>
    <col min="1" max="1" width="12.42578125" customWidth="1"/>
    <col min="2" max="2" width="24.5703125" customWidth="1"/>
    <col min="3" max="26" width="12.42578125" customWidth="1"/>
  </cols>
  <sheetData>
    <row r="1" spans="1:34" ht="15.75" customHeight="1" x14ac:dyDescent="0.2"/>
    <row r="2" spans="1:34" ht="15.75" customHeight="1" x14ac:dyDescent="0.2"/>
    <row r="3" spans="1:34" ht="15.75" customHeight="1" x14ac:dyDescent="0.2">
      <c r="B3" s="3"/>
      <c r="C3" s="3" t="s">
        <v>19</v>
      </c>
      <c r="D3" s="3" t="s">
        <v>135</v>
      </c>
      <c r="E3" s="3" t="s">
        <v>134</v>
      </c>
      <c r="F3" s="3" t="s">
        <v>133</v>
      </c>
      <c r="G3" s="3" t="s">
        <v>132</v>
      </c>
      <c r="H3" s="3" t="s">
        <v>131</v>
      </c>
      <c r="I3" s="3" t="s">
        <v>130</v>
      </c>
      <c r="J3" s="3" t="s">
        <v>129</v>
      </c>
      <c r="K3" s="3" t="s">
        <v>128</v>
      </c>
      <c r="L3" s="3" t="s">
        <v>127</v>
      </c>
      <c r="M3" s="3" t="s">
        <v>126</v>
      </c>
      <c r="N3" s="3" t="s">
        <v>125</v>
      </c>
      <c r="O3" s="3" t="s">
        <v>110</v>
      </c>
      <c r="P3" s="3" t="s">
        <v>109</v>
      </c>
      <c r="Q3" s="3" t="s">
        <v>108</v>
      </c>
      <c r="R3" s="3" t="s">
        <v>107</v>
      </c>
      <c r="S3" s="3" t="s">
        <v>106</v>
      </c>
      <c r="T3" s="3" t="s">
        <v>105</v>
      </c>
      <c r="U3" s="3" t="s">
        <v>104</v>
      </c>
      <c r="V3" s="3" t="s">
        <v>103</v>
      </c>
      <c r="W3" s="3" t="s">
        <v>102</v>
      </c>
      <c r="X3" s="3" t="s">
        <v>101</v>
      </c>
      <c r="Y3" s="3" t="s">
        <v>100</v>
      </c>
      <c r="Z3" s="3" t="s">
        <v>99</v>
      </c>
      <c r="AA3" s="3" t="s">
        <v>98</v>
      </c>
      <c r="AB3" s="3" t="s">
        <v>97</v>
      </c>
      <c r="AC3" s="3" t="s">
        <v>24</v>
      </c>
      <c r="AD3" s="3" t="s">
        <v>25</v>
      </c>
      <c r="AE3" s="3" t="s">
        <v>26</v>
      </c>
      <c r="AF3" s="3" t="s">
        <v>27</v>
      </c>
      <c r="AG3" s="3" t="s">
        <v>28</v>
      </c>
      <c r="AH3" s="3" t="s">
        <v>29</v>
      </c>
    </row>
    <row r="4" spans="1:34" ht="15.75" customHeight="1" x14ac:dyDescent="0.2">
      <c r="B4" s="2" t="s">
        <v>20</v>
      </c>
      <c r="C4" s="5">
        <v>6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1</v>
      </c>
      <c r="AB4" s="4">
        <v>0</v>
      </c>
      <c r="AC4" s="4">
        <v>1</v>
      </c>
      <c r="AD4" s="4">
        <v>1</v>
      </c>
      <c r="AE4" s="4">
        <v>1</v>
      </c>
      <c r="AF4" s="4">
        <v>1</v>
      </c>
      <c r="AG4" s="4">
        <v>0</v>
      </c>
      <c r="AH4" s="6">
        <f>SUM(D4:AG4)</f>
        <v>5</v>
      </c>
    </row>
    <row r="5" spans="1:34" ht="15.75" customHeight="1" x14ac:dyDescent="0.2">
      <c r="B5" s="2" t="s">
        <v>22</v>
      </c>
      <c r="C5" s="5">
        <v>3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1</v>
      </c>
      <c r="AB5" s="4">
        <v>1</v>
      </c>
      <c r="AC5" s="4">
        <v>0</v>
      </c>
      <c r="AD5" s="4">
        <v>0</v>
      </c>
      <c r="AE5" s="4">
        <v>1</v>
      </c>
      <c r="AF5" s="4">
        <v>0</v>
      </c>
      <c r="AG5" s="4">
        <v>0</v>
      </c>
      <c r="AH5" s="6">
        <f>SUM(D5:AG5)</f>
        <v>3</v>
      </c>
    </row>
    <row r="6" spans="1:34" ht="15.75" customHeight="1" x14ac:dyDescent="0.2">
      <c r="A6" s="3"/>
      <c r="B6" s="2" t="s">
        <v>23</v>
      </c>
      <c r="C6" s="5">
        <v>3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1</v>
      </c>
      <c r="Z6" s="4">
        <v>1</v>
      </c>
      <c r="AA6" s="4">
        <v>1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6">
        <f>SUM(D6:AG6)</f>
        <v>3</v>
      </c>
    </row>
    <row r="7" spans="1:34" ht="15.75" customHeight="1" x14ac:dyDescent="0.2"/>
    <row r="8" spans="1:34" ht="15.75" customHeight="1" x14ac:dyDescent="0.2">
      <c r="B8" s="2" t="s">
        <v>47</v>
      </c>
      <c r="C8" s="5">
        <v>7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1</v>
      </c>
      <c r="AB8" s="4">
        <v>1</v>
      </c>
      <c r="AC8" s="4">
        <v>1</v>
      </c>
      <c r="AD8" s="4">
        <v>0</v>
      </c>
      <c r="AE8" s="4">
        <v>0</v>
      </c>
      <c r="AF8" s="4">
        <v>1</v>
      </c>
      <c r="AG8" s="4">
        <v>0</v>
      </c>
      <c r="AH8" s="6">
        <f>SUM(D8:AG8)</f>
        <v>5</v>
      </c>
    </row>
    <row r="9" spans="1:34" ht="15.75" customHeight="1" x14ac:dyDescent="0.2">
      <c r="B9" s="2" t="s">
        <v>48</v>
      </c>
      <c r="C9" s="5">
        <v>7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1</v>
      </c>
      <c r="Z9" s="4">
        <v>0</v>
      </c>
      <c r="AA9" s="4">
        <v>0</v>
      </c>
      <c r="AB9" s="4">
        <v>0</v>
      </c>
      <c r="AC9" s="4">
        <v>2</v>
      </c>
      <c r="AD9" s="4">
        <v>1</v>
      </c>
      <c r="AE9" s="4">
        <v>1</v>
      </c>
      <c r="AF9" s="4">
        <v>1</v>
      </c>
      <c r="AG9" s="4">
        <v>0</v>
      </c>
      <c r="AH9" s="6">
        <f>SUM(D9:AG9)</f>
        <v>6</v>
      </c>
    </row>
    <row r="10" spans="1:34" ht="15.75" customHeight="1" x14ac:dyDescent="0.2"/>
    <row r="11" spans="1:34" ht="15.75" customHeight="1" x14ac:dyDescent="0.2">
      <c r="B11" s="2" t="s">
        <v>53</v>
      </c>
      <c r="C11" s="5">
        <v>4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2</v>
      </c>
      <c r="AE11" s="4">
        <v>1</v>
      </c>
      <c r="AF11" s="4">
        <v>0</v>
      </c>
      <c r="AG11" s="4">
        <v>0</v>
      </c>
      <c r="AH11" s="6">
        <f>SUM(D11:AG11)</f>
        <v>3</v>
      </c>
    </row>
    <row r="12" spans="1:34" ht="15.75" customHeight="1" x14ac:dyDescent="0.2">
      <c r="B12" s="2" t="s">
        <v>54</v>
      </c>
      <c r="C12" s="5">
        <v>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2</v>
      </c>
      <c r="AD12" s="4">
        <v>1</v>
      </c>
      <c r="AE12" s="4">
        <v>0</v>
      </c>
      <c r="AF12" s="4">
        <v>1</v>
      </c>
      <c r="AG12" s="4">
        <v>0</v>
      </c>
      <c r="AH12" s="6">
        <f>SUM(D12:AG12)</f>
        <v>4</v>
      </c>
    </row>
    <row r="13" spans="1:34" ht="15.75" customHeight="1" x14ac:dyDescent="0.2">
      <c r="B13" s="2" t="s">
        <v>55</v>
      </c>
      <c r="C13" s="5">
        <v>4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1</v>
      </c>
      <c r="AA13" s="4">
        <v>0</v>
      </c>
      <c r="AB13" s="4">
        <v>0</v>
      </c>
      <c r="AC13" s="4">
        <v>1</v>
      </c>
      <c r="AD13" s="4">
        <v>0</v>
      </c>
      <c r="AE13" s="4">
        <v>1</v>
      </c>
      <c r="AF13" s="4">
        <v>1</v>
      </c>
      <c r="AG13" s="4">
        <v>0</v>
      </c>
      <c r="AH13" s="6">
        <f>SUM(D13:AG13)</f>
        <v>4</v>
      </c>
    </row>
    <row r="14" spans="1:34" ht="15.75" customHeight="1" x14ac:dyDescent="0.2"/>
    <row r="15" spans="1:34" ht="15.75" customHeight="1" x14ac:dyDescent="0.2">
      <c r="B15" s="2" t="s">
        <v>89</v>
      </c>
      <c r="C15" s="5">
        <v>3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</v>
      </c>
      <c r="T15" s="4">
        <v>0</v>
      </c>
      <c r="U15" s="4">
        <v>0</v>
      </c>
      <c r="V15" s="4">
        <v>1</v>
      </c>
      <c r="W15" s="4">
        <v>0</v>
      </c>
      <c r="X15" s="4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1</v>
      </c>
      <c r="AE15" s="4">
        <v>0</v>
      </c>
      <c r="AF15" s="4">
        <v>0</v>
      </c>
      <c r="AG15" s="4">
        <v>0</v>
      </c>
      <c r="AH15" s="6">
        <f>SUM(D15:AG15)</f>
        <v>4</v>
      </c>
    </row>
    <row r="16" spans="1:34" ht="15.75" customHeight="1" x14ac:dyDescent="0.2">
      <c r="B16" s="2" t="s">
        <v>90</v>
      </c>
      <c r="C16" s="5">
        <v>3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1</v>
      </c>
      <c r="S16" s="4">
        <v>0</v>
      </c>
      <c r="T16" s="4">
        <v>0</v>
      </c>
      <c r="U16" s="4">
        <v>1</v>
      </c>
      <c r="V16" s="4">
        <v>0</v>
      </c>
      <c r="W16" s="4">
        <v>0</v>
      </c>
      <c r="X16" s="4">
        <v>1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6">
        <f>SUM(D16:AG16)</f>
        <v>3</v>
      </c>
    </row>
    <row r="17" spans="2:34" ht="15.75" customHeight="1" x14ac:dyDescent="0.2"/>
    <row r="18" spans="2:34" ht="15.75" customHeight="1" x14ac:dyDescent="0.2">
      <c r="B18" s="2" t="s">
        <v>91</v>
      </c>
      <c r="C18" s="5">
        <v>5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1</v>
      </c>
      <c r="Q18" s="4">
        <v>1</v>
      </c>
      <c r="R18" s="4">
        <v>0</v>
      </c>
      <c r="S18" s="4">
        <v>1</v>
      </c>
      <c r="T18" s="4">
        <v>0</v>
      </c>
      <c r="U18" s="4">
        <v>0</v>
      </c>
      <c r="V18" s="4">
        <v>0</v>
      </c>
      <c r="W18" s="4">
        <v>0</v>
      </c>
      <c r="X18" s="4">
        <v>2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6">
        <f>SUM(D18:AG18)</f>
        <v>5</v>
      </c>
    </row>
    <row r="19" spans="2:34" ht="15.75" customHeight="1" x14ac:dyDescent="0.2">
      <c r="B19" s="2" t="s">
        <v>92</v>
      </c>
      <c r="C19" s="5">
        <v>5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2</v>
      </c>
      <c r="S19" s="4">
        <v>0</v>
      </c>
      <c r="T19" s="4">
        <v>1</v>
      </c>
      <c r="U19" s="4">
        <v>0</v>
      </c>
      <c r="V19" s="4">
        <v>0</v>
      </c>
      <c r="W19" s="4">
        <v>1</v>
      </c>
      <c r="X19" s="4">
        <v>1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6">
        <f>SUM(D19:AG19)</f>
        <v>5</v>
      </c>
    </row>
    <row r="20" spans="2:34" ht="15.75" customHeight="1" x14ac:dyDescent="0.2"/>
    <row r="21" spans="2:34" ht="15.75" customHeight="1" x14ac:dyDescent="0.2">
      <c r="B21" s="2" t="s">
        <v>64</v>
      </c>
      <c r="C21" s="5">
        <v>4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1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2</v>
      </c>
      <c r="W21" s="4">
        <v>0</v>
      </c>
      <c r="X21" s="4">
        <v>0</v>
      </c>
      <c r="Y21" s="4">
        <v>1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6">
        <f>SUM(D21:AG21)</f>
        <v>4</v>
      </c>
    </row>
    <row r="22" spans="2:34" ht="15.75" customHeight="1" x14ac:dyDescent="0.2"/>
    <row r="23" spans="2:34" ht="15.75" customHeight="1" x14ac:dyDescent="0.2">
      <c r="B23" s="2" t="s">
        <v>120</v>
      </c>
      <c r="C23" s="5">
        <v>4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8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</row>
    <row r="24" spans="2:34" ht="15.75" customHeight="1" x14ac:dyDescent="0.2">
      <c r="B24" s="2" t="s">
        <v>136</v>
      </c>
      <c r="C24" s="5">
        <v>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8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2:34" ht="15.75" customHeight="1" x14ac:dyDescent="0.2"/>
    <row r="26" spans="2:34" ht="15.75" customHeight="1" x14ac:dyDescent="0.2">
      <c r="B26" s="2" t="s">
        <v>121</v>
      </c>
      <c r="C26" s="5">
        <v>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8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2:34" ht="15.75" customHeight="1" x14ac:dyDescent="0.2">
      <c r="N27">
        <v>8</v>
      </c>
    </row>
    <row r="28" spans="2:34" ht="15.75" customHeight="1" x14ac:dyDescent="0.2">
      <c r="B28" s="7" t="s">
        <v>30</v>
      </c>
      <c r="C28">
        <f>SUM(C4:C26)</f>
        <v>70</v>
      </c>
      <c r="D28" s="3">
        <f t="shared" ref="D28:AF28" si="0">C28-SUM(D4:D6,D8:D9,D11:D13,D15:D16, D18:D19, D21, D23,D24,D26)</f>
        <v>70</v>
      </c>
      <c r="E28" s="3">
        <f t="shared" si="0"/>
        <v>70</v>
      </c>
      <c r="F28" s="3">
        <f t="shared" si="0"/>
        <v>70</v>
      </c>
      <c r="G28" s="3">
        <f t="shared" si="0"/>
        <v>70</v>
      </c>
      <c r="H28" s="3">
        <f t="shared" si="0"/>
        <v>70</v>
      </c>
      <c r="I28" s="3">
        <f t="shared" si="0"/>
        <v>70</v>
      </c>
      <c r="J28" s="3">
        <f t="shared" si="0"/>
        <v>70</v>
      </c>
      <c r="K28" s="3">
        <f t="shared" si="0"/>
        <v>70</v>
      </c>
      <c r="L28" s="3">
        <f t="shared" si="0"/>
        <v>70</v>
      </c>
      <c r="M28" s="3">
        <f t="shared" si="0"/>
        <v>70</v>
      </c>
      <c r="N28" s="3">
        <f t="shared" si="0"/>
        <v>46</v>
      </c>
      <c r="O28" s="3">
        <f t="shared" si="0"/>
        <v>45</v>
      </c>
      <c r="P28" s="3">
        <f t="shared" si="0"/>
        <v>44</v>
      </c>
      <c r="Q28" s="3">
        <f t="shared" si="0"/>
        <v>43</v>
      </c>
      <c r="R28" s="3">
        <f t="shared" si="0"/>
        <v>40</v>
      </c>
      <c r="S28" s="3">
        <f t="shared" si="0"/>
        <v>38</v>
      </c>
      <c r="T28" s="3">
        <f t="shared" si="0"/>
        <v>37</v>
      </c>
      <c r="U28" s="3">
        <f t="shared" si="0"/>
        <v>36</v>
      </c>
      <c r="V28" s="3">
        <f t="shared" si="0"/>
        <v>33</v>
      </c>
      <c r="W28" s="3">
        <f t="shared" si="0"/>
        <v>32</v>
      </c>
      <c r="X28" s="3">
        <f t="shared" si="0"/>
        <v>27</v>
      </c>
      <c r="Y28" s="3">
        <f t="shared" si="0"/>
        <v>24</v>
      </c>
      <c r="Z28" s="3">
        <f t="shared" si="0"/>
        <v>21</v>
      </c>
      <c r="AA28" s="3">
        <f t="shared" si="0"/>
        <v>17</v>
      </c>
      <c r="AB28" s="3">
        <f t="shared" si="0"/>
        <v>15</v>
      </c>
      <c r="AC28" s="3">
        <f t="shared" si="0"/>
        <v>8</v>
      </c>
      <c r="AD28" s="3">
        <f t="shared" si="0"/>
        <v>2</v>
      </c>
      <c r="AE28" s="3">
        <f t="shared" si="0"/>
        <v>-3</v>
      </c>
      <c r="AF28" s="3">
        <f t="shared" si="0"/>
        <v>-8</v>
      </c>
      <c r="AG28" s="3">
        <f>AF28-SUM(AG4:AG6,AG8:AG9,AG11:AG13,AG15:AG16, AG18:AG19, AG21, AG23,AG24,AG26)</f>
        <v>-8</v>
      </c>
    </row>
    <row r="29" spans="2:34" ht="15.75" customHeight="1" x14ac:dyDescent="0.2">
      <c r="B29" s="7" t="s">
        <v>31</v>
      </c>
      <c r="C29">
        <f>SUM(C4:C26)</f>
        <v>70</v>
      </c>
      <c r="D29" s="31">
        <f>C29-(SUM($C$4:$C$6,$C$8:$C$9,$C$11:$C$13,$C$15:$C$16,$C$18:$C$19:$C$21,$C23:$C24, $C26)/30)</f>
        <v>67.666666666666671</v>
      </c>
      <c r="E29" s="31">
        <f>D29-(SUM($C$4:$C$6,$C$8:$C$9,$C$11:$C$13,$C$15:$C$16,$C$18:$C$19:$C$21,$C23:$C24, $C26)/30)</f>
        <v>65.333333333333343</v>
      </c>
      <c r="F29" s="31">
        <f>E29-(SUM($C$4:$C$6,$C$8:$C$9,$C$11:$C$13,$C$15:$C$16,$C$18:$C$19:$C$21,$C23:$C24, $C26)/30)</f>
        <v>63.000000000000007</v>
      </c>
      <c r="G29" s="31">
        <f>F29-(SUM($C$4:$C$6,$C$8:$C$9,$C$11:$C$13,$C$15:$C$16,$C$18:$C$19:$C$21,$C23:$C24, $C26)/30)</f>
        <v>60.666666666666671</v>
      </c>
      <c r="H29" s="31">
        <f>G29-(SUM($C$4:$C$6,$C$8:$C$9,$C$11:$C$13,$C$15:$C$16,$C$18:$C$19:$C$21,$C23:$C24, $C26)/30)</f>
        <v>58.333333333333336</v>
      </c>
      <c r="I29" s="31">
        <f>H29-(SUM($C$4:$C$6,$C$8:$C$9,$C$11:$C$13,$C$15:$C$16,$C$18:$C$19:$C$21,$C23:$C24, $C26)/30)</f>
        <v>56</v>
      </c>
      <c r="J29" s="31">
        <f>I29-(SUM($C$4:$C$6,$C$8:$C$9,$C$11:$C$13,$C$15:$C$16,$C$18:$C$19:$C$21,$C23:$C24, $C26)/30)</f>
        <v>53.666666666666664</v>
      </c>
      <c r="K29" s="31">
        <f>J29-(SUM($C$4:$C$6,$C$8:$C$9,$C$11:$C$13,$C$15:$C$16,$C$18:$C$19:$C$21,$C23:$C24, $C26)/30)</f>
        <v>51.333333333333329</v>
      </c>
      <c r="L29" s="31">
        <f>K29-(SUM($C$4:$C$6,$C$8:$C$9,$C$11:$C$13,$C$15:$C$16,$C$18:$C$19:$C$21,$C23:$C24, $C26)/30)</f>
        <v>48.999999999999993</v>
      </c>
      <c r="M29" s="31">
        <f>L29-(SUM($C$4:$C$6,$C$8:$C$9,$C$11:$C$13,$C$15:$C$16,$C$18:$C$19:$C$21,$C23:$C24, $C26)/30)</f>
        <v>46.666666666666657</v>
      </c>
      <c r="N29" s="31">
        <f>M29-(SUM($C$4:$C$6,$C$8:$C$9,$C$11:$C$13,$C$15:$C$16,$C$18:$C$19:$C$21,$C23:$C24, $C26)/30)</f>
        <v>44.333333333333321</v>
      </c>
      <c r="O29" s="31">
        <f>N29-(SUM($C$4:$C$6,$C$8:$C$9,$C$11:$C$13,$C$15:$C$16,$C$18:$C$19:$C$21,$C23:$C24, $C26)/30)</f>
        <v>41.999999999999986</v>
      </c>
      <c r="P29" s="31">
        <f>O29-(SUM($C$4:$C$6,$C$8:$C$9,$C$11:$C$13,$C$15:$C$16,$C$18:$C$19:$C$21,$C23:$C24, $C26)/30)</f>
        <v>39.66666666666665</v>
      </c>
      <c r="Q29" s="31">
        <f>P29-(SUM($C$4:$C$6,$C$8:$C$9,$C$11:$C$13,$C$15:$C$16,$C$18:$C$19:$C$21,$C23:$C24, $C26)/30)</f>
        <v>37.333333333333314</v>
      </c>
      <c r="R29" s="31">
        <f>Q29-(SUM($C$4:$C$6,$C$8:$C$9,$C$11:$C$13,$C$15:$C$16,$C$18:$C$19:$C$21,$C23:$C24, $C26)/30)</f>
        <v>34.999999999999979</v>
      </c>
      <c r="S29" s="31">
        <f>R29-(SUM($C$4:$C$6,$C$8:$C$9,$C$11:$C$13,$C$15:$C$16,$C$18:$C$19:$C$21,$C23:$C24, $C26)/30)</f>
        <v>32.666666666666643</v>
      </c>
      <c r="T29" s="31">
        <f>S29-(SUM($C$4:$C$6,$C$8:$C$9,$C$11:$C$13,$C$15:$C$16,$C$18:$C$19:$C$21,$C23:$C24, $C26)/30)</f>
        <v>30.333333333333311</v>
      </c>
      <c r="U29" s="31">
        <f>T29-(SUM($C$4:$C$6,$C$8:$C$9,$C$11:$C$13,$C$15:$C$16,$C$18:$C$19:$C$21,$C23:$C24, $C26)/30)</f>
        <v>27.999999999999979</v>
      </c>
      <c r="V29" s="31">
        <f>U29-(SUM($C$4:$C$6,$C$8:$C$9,$C$11:$C$13,$C$15:$C$16,$C$18:$C$19:$C$21,$C23:$C24, $C26)/30)</f>
        <v>25.666666666666647</v>
      </c>
      <c r="W29" s="31">
        <f>V29-(SUM($C$4:$C$6,$C$8:$C$9,$C$11:$C$13,$C$15:$C$16,$C$18:$C$19:$C$21,$C23:$C24, $C26)/30)</f>
        <v>23.333333333333314</v>
      </c>
      <c r="X29" s="31">
        <f>W29-(SUM($C$4:$C$6,$C$8:$C$9,$C$11:$C$13,$C$15:$C$16,$C$18:$C$19:$C$21,$C23:$C24, $C26)/30)</f>
        <v>20.999999999999982</v>
      </c>
      <c r="Y29" s="31">
        <f>X29-(SUM($C$4:$C$6,$C$8:$C$9,$C$11:$C$13,$C$15:$C$16,$C$18:$C$19:$C$21,$C23:$C24, $C26)/30)</f>
        <v>18.66666666666665</v>
      </c>
      <c r="Z29" s="31">
        <f>Y29-(SUM($C$4:$C$6,$C$8:$C$9,$C$11:$C$13,$C$15:$C$16,$C$18:$C$19:$C$21,$C23:$C24, $C26)/30)</f>
        <v>16.333333333333318</v>
      </c>
      <c r="AA29" s="31">
        <f>Z29-(SUM($C$4:$C$6,$C$8:$C$9,$C$11:$C$13,$C$15:$C$16,$C$18:$C$19:$C$21,$C23:$C24, $C26)/30)</f>
        <v>13.999999999999984</v>
      </c>
      <c r="AB29" s="31">
        <f>AA29-(SUM($C$4:$C$6,$C$8:$C$9,$C$11:$C$13,$C$15:$C$16,$C$18:$C$19:$C$21,$C23:$C24, $C26)/30)</f>
        <v>11.66666666666665</v>
      </c>
      <c r="AC29" s="31">
        <f>AB29-(SUM($C$4:$C$6,$C$8:$C$9,$C$11:$C$13,$C$15:$C$16,$C$18:$C$19:$C$21,$C23:$C24, $C26)/30)</f>
        <v>9.3333333333333162</v>
      </c>
      <c r="AD29" s="31">
        <f>AC29-(SUM($C$4:$C$6,$C$8:$C$9,$C$11:$C$13,$C$15:$C$16,$C$18:$C$19:$C$21,$C23:$C24, $C26)/30)</f>
        <v>6.9999999999999822</v>
      </c>
      <c r="AE29" s="31">
        <f>AD29-(SUM($C$4:$C$6,$C$8:$C$9,$C$11:$C$13,$C$15:$C$16,$C$18:$C$19:$C$21,$C23:$C24, $C26)/30)</f>
        <v>4.6666666666666483</v>
      </c>
      <c r="AF29" s="31">
        <f>AE29-(SUM($C$4:$C$6,$C$8:$C$9,$C$11:$C$13,$C$15:$C$16,$C$18:$C$19:$C$21,$C23:$C24, $C26)/30)</f>
        <v>2.3333333333333148</v>
      </c>
      <c r="AG29" s="31">
        <f>AF29-(SUM($C$4:$C$6,$C$8:$C$9,$C$11:$C$13,$C$15:$C$16,$C$18:$C$19:$C$21,$C23:$C24, $C26)/30)</f>
        <v>-1.865174681370263E-14</v>
      </c>
    </row>
    <row r="30" spans="2:34" ht="15.75" customHeight="1" x14ac:dyDescent="0.2"/>
    <row r="31" spans="2:34" ht="15.75" customHeight="1" x14ac:dyDescent="0.2"/>
    <row r="32" spans="2:34" ht="15.75" customHeight="1" x14ac:dyDescent="0.2"/>
    <row r="33" spans="2:9" ht="15.75" customHeight="1" x14ac:dyDescent="0.2">
      <c r="B33" s="24"/>
      <c r="C33" s="25"/>
      <c r="D33" s="25"/>
      <c r="E33" s="25"/>
      <c r="F33" s="25"/>
      <c r="G33" s="25"/>
      <c r="H33" s="25"/>
      <c r="I33" s="26"/>
    </row>
    <row r="34" spans="2:9" ht="15.75" customHeight="1" x14ac:dyDescent="0.2">
      <c r="B34" s="26"/>
      <c r="C34" s="26"/>
      <c r="D34" s="26"/>
      <c r="E34" s="26"/>
      <c r="F34" s="26"/>
      <c r="G34" s="26"/>
      <c r="H34" s="26"/>
      <c r="I34" s="26"/>
    </row>
    <row r="35" spans="2:9" ht="15.75" customHeight="1" x14ac:dyDescent="0.2">
      <c r="B35" s="24"/>
      <c r="C35" s="25"/>
      <c r="D35" s="25"/>
      <c r="E35" s="25"/>
      <c r="F35" s="25"/>
      <c r="G35" s="25"/>
      <c r="H35" s="25"/>
      <c r="I35" s="26"/>
    </row>
    <row r="36" spans="2:9" ht="15.75" customHeight="1" x14ac:dyDescent="0.2">
      <c r="B36" s="24"/>
      <c r="C36" s="25"/>
      <c r="D36" s="25"/>
      <c r="E36" s="25"/>
      <c r="F36" s="25"/>
      <c r="G36" s="25"/>
      <c r="H36" s="25"/>
      <c r="I36" s="26"/>
    </row>
    <row r="37" spans="2:9" ht="15.75" customHeight="1" x14ac:dyDescent="0.2"/>
    <row r="38" spans="2:9" ht="15.75" customHeight="1" x14ac:dyDescent="0.2">
      <c r="B38" s="38" t="s">
        <v>32</v>
      </c>
      <c r="C38" s="38"/>
      <c r="D38" s="38"/>
      <c r="E38" s="38"/>
      <c r="F38" s="38"/>
      <c r="G38" s="38"/>
    </row>
    <row r="39" spans="2:9" ht="15.75" customHeight="1" x14ac:dyDescent="0.2">
      <c r="B39" s="38"/>
      <c r="C39" s="38"/>
      <c r="D39" s="38"/>
      <c r="E39" s="38"/>
      <c r="F39" s="38"/>
      <c r="G39" s="38"/>
    </row>
    <row r="40" spans="2:9" ht="15.75" customHeight="1" x14ac:dyDescent="0.2">
      <c r="B40" s="38"/>
      <c r="C40" s="38"/>
      <c r="D40" s="38"/>
      <c r="E40" s="38"/>
      <c r="F40" s="38"/>
      <c r="G40" s="38"/>
    </row>
    <row r="41" spans="2:9" ht="15.75" customHeight="1" x14ac:dyDescent="0.2">
      <c r="B41" s="38"/>
      <c r="C41" s="38"/>
      <c r="D41" s="38"/>
      <c r="E41" s="38"/>
      <c r="F41" s="38"/>
      <c r="G41" s="38"/>
    </row>
    <row r="42" spans="2:9" ht="15.75" customHeight="1" x14ac:dyDescent="0.2">
      <c r="B42" s="38"/>
      <c r="C42" s="38"/>
      <c r="D42" s="38"/>
      <c r="E42" s="38"/>
      <c r="F42" s="38"/>
      <c r="G42" s="38"/>
    </row>
    <row r="43" spans="2:9" ht="15.75" customHeight="1" x14ac:dyDescent="0.2">
      <c r="B43" s="38"/>
      <c r="C43" s="38"/>
      <c r="D43" s="38"/>
      <c r="E43" s="38"/>
      <c r="F43" s="38"/>
      <c r="G43" s="38"/>
    </row>
    <row r="44" spans="2:9" ht="15.75" customHeight="1" x14ac:dyDescent="0.2">
      <c r="B44" s="38"/>
      <c r="C44" s="38"/>
      <c r="D44" s="38"/>
      <c r="E44" s="38"/>
      <c r="F44" s="38"/>
      <c r="G44" s="38"/>
    </row>
    <row r="45" spans="2:9" ht="15.75" customHeight="1" x14ac:dyDescent="0.2">
      <c r="B45" s="38"/>
      <c r="C45" s="38"/>
      <c r="D45" s="38"/>
      <c r="E45" s="38"/>
      <c r="F45" s="38"/>
      <c r="G45" s="38"/>
    </row>
    <row r="46" spans="2:9" ht="15.75" customHeight="1" x14ac:dyDescent="0.2"/>
    <row r="47" spans="2:9" ht="15.75" customHeight="1" x14ac:dyDescent="0.2"/>
    <row r="48" spans="2:9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</sheetData>
  <mergeCells count="1">
    <mergeCell ref="B38:G45"/>
  </mergeCells>
  <phoneticPr fontId="4" type="noConversion"/>
  <pageMargins left="0.7" right="0.7" top="0.75" bottom="0.75" header="0" footer="0"/>
  <pageSetup orientation="landscape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 0</vt:lpstr>
      <vt:lpstr>BURDONCHART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2023-06-05T13:12:31Z</dcterms:created>
  <dcterms:modified xsi:type="dcterms:W3CDTF">2025-07-25T09:55:44Z</dcterms:modified>
</cp:coreProperties>
</file>