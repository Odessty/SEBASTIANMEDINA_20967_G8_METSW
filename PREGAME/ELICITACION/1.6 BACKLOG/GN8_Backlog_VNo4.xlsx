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D666F8-4932-4AD8-89CD-3DE1582CC4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3" l="1"/>
  <c r="E24" i="3" s="1"/>
  <c r="F24" i="3" s="1"/>
  <c r="G24" i="3" s="1"/>
  <c r="H24" i="3" s="1"/>
  <c r="D23" i="3"/>
  <c r="E23" i="3" s="1"/>
  <c r="F23" i="3" s="1"/>
  <c r="G23" i="3" s="1"/>
  <c r="H23" i="3" s="1"/>
  <c r="I16" i="3"/>
  <c r="I15" i="3"/>
  <c r="I13" i="3"/>
  <c r="I12" i="3"/>
  <c r="I11" i="3"/>
  <c r="I9" i="3"/>
  <c r="I8" i="3"/>
  <c r="I5" i="3" l="1"/>
  <c r="I6" i="3"/>
  <c r="I4" i="3"/>
</calcChain>
</file>

<file path=xl/sharedStrings.xml><?xml version="1.0" encoding="utf-8"?>
<sst xmlns="http://schemas.openxmlformats.org/spreadsheetml/2006/main" count="134" uniqueCount="71">
  <si>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</si>
  <si>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</si>
  <si>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</si>
  <si>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</si>
  <si>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</si>
  <si>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</si>
  <si>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</si>
  <si>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</si>
  <si>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</si>
  <si>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</si>
  <si>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</si>
  <si>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</si>
  <si>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</si>
  <si>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</si>
  <si>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</si>
  <si>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</si>
  <si>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</si>
  <si>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</si>
  <si>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</si>
  <si>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</si>
  <si>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</si>
  <si>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</si>
  <si>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</si>
  <si>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</si>
  <si>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</si>
  <si>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</si>
  <si>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</si>
  <si>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</si>
  <si>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</si>
  <si>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</si>
  <si>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</si>
  <si>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</si>
  <si>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</si>
  <si>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Administrador/Cliente</t>
  </si>
  <si>
    <t>No Iniciada</t>
  </si>
  <si>
    <t>REQ002</t>
  </si>
  <si>
    <t>Ingreso por Credenciales</t>
  </si>
  <si>
    <t>Registro de Intervencion por Movil u Ordenador</t>
  </si>
  <si>
    <t>Permitir el ingreso de datos</t>
  </si>
  <si>
    <t>Automatizar el proceso de recolección de datos</t>
  </si>
  <si>
    <t>REQ003</t>
  </si>
  <si>
    <t>REQ006</t>
  </si>
  <si>
    <t>Generación Automatica de Reportes</t>
  </si>
  <si>
    <t>Operario del Campo</t>
  </si>
  <si>
    <t>Automatizar la creación de reportes tecnicos</t>
  </si>
  <si>
    <t>Generar Automaticamente un documento PDF al finalizar la intervención</t>
  </si>
  <si>
    <t>Interfaz Amigable</t>
  </si>
  <si>
    <t>Técnico de Campo</t>
  </si>
  <si>
    <t>Facilitar el uso de la plataforma en el Campo</t>
  </si>
  <si>
    <t>Navegar sin conocimiento previo y llenar de forma rapida y sencilla formularios</t>
  </si>
  <si>
    <t>REQ002-1</t>
  </si>
  <si>
    <t>REQ002-2</t>
  </si>
  <si>
    <t>Registro de datos de intervención en la base de datos.</t>
  </si>
  <si>
    <t>Crear una interfaz para el ingredo de datos.</t>
  </si>
  <si>
    <t>Sebastian Medina</t>
  </si>
  <si>
    <t xml:space="preserve">Asignado </t>
  </si>
  <si>
    <t>REQ003-1</t>
  </si>
  <si>
    <t>REQ003-2</t>
  </si>
  <si>
    <t>REQ003-3</t>
  </si>
  <si>
    <t>Almacenamiento de inicio de sesión en base de datos.</t>
  </si>
  <si>
    <t>Validación de inicio de sesión en la base de datos</t>
  </si>
  <si>
    <t>Digitalización de formulario previamente dado por el cliente</t>
  </si>
  <si>
    <t>automatización de posibles respuestas dentro del formulario</t>
  </si>
  <si>
    <t>Guardado de reporte en formato pdf en la base de datos</t>
  </si>
  <si>
    <t>Roberto Ramirez</t>
  </si>
  <si>
    <t xml:space="preserve">Tareas </t>
  </si>
  <si>
    <t xml:space="preserve">Estimado </t>
  </si>
  <si>
    <t>REQ006-1</t>
  </si>
  <si>
    <t>REQ006-2</t>
  </si>
  <si>
    <t>Analizar posibles pestañas necesarias dentro de la interfaz</t>
  </si>
  <si>
    <t>Crear apartados intuitivos que faciliten la navegacion por la interfaz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</si>
</sst>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name val="Arial"/>
      <family val="2"/>
    </font>
    <font>
      <sz val="10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1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4" fillId="0" borderId="0" xfId="0" applyFont="1"/>
    <xf numFmtId="0" fontId="14" fillId="0" borderId="0" xfId="0" applyFont="1" applyAlignment="1"/>
    <xf numFmtId="0" fontId="15" fillId="0" borderId="0" xfId="0" applyFont="1"/>
    <xf numFmtId="0" fontId="14" fillId="5" borderId="0" xfId="0" applyFont="1" applyFill="1"/>
    <xf numFmtId="0" fontId="14" fillId="5" borderId="0" xfId="0" applyFont="1" applyFill="1" applyAlignment="1"/>
    <xf numFmtId="0" fontId="15" fillId="5" borderId="0" xfId="0" applyFont="1" applyFill="1"/>
    <xf numFmtId="0" fontId="16" fillId="0" borderId="0" xfId="0" applyFont="1"/>
    <xf numFmtId="0" fontId="3" fillId="0" borderId="1" xfId="0" applyFont="1" applyFill="1" applyBorder="1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</cellXfs>
  <cellStyles count="2">
    <cellStyle name="Normal" xfId="0" builtinId="0"/>
    <cellStyle name="Normal 2" xfId="1" xr:uid="{EFF009FE-2651-4DB9-9C04-329E6AC33DD8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burdonchart!$B$23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burdonchart!$C$23:$H$23</c:f>
              <c:numCache>
                <c:formatCode>General</c:formatCode>
                <c:ptCount val="6"/>
                <c:pt idx="0">
                  <c:v>0</c:v>
                </c:pt>
                <c:pt idx="1">
                  <c:v>-7</c:v>
                </c:pt>
                <c:pt idx="2">
                  <c:v>-19</c:v>
                </c:pt>
                <c:pt idx="3">
                  <c:v>-26</c:v>
                </c:pt>
                <c:pt idx="4">
                  <c:v>-36</c:v>
                </c:pt>
                <c:pt idx="5">
                  <c:v>-39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burdonchart!$C$24:$H$24</c:f>
              <c:numCache>
                <c:formatCode>General</c:formatCode>
                <c:ptCount val="6"/>
                <c:pt idx="0">
                  <c:v>0</c:v>
                </c:pt>
                <c:pt idx="1">
                  <c:v>-7.8</c:v>
                </c:pt>
                <c:pt idx="2">
                  <c:v>-15.6</c:v>
                </c:pt>
                <c:pt idx="3">
                  <c:v>-23.4</c:v>
                </c:pt>
                <c:pt idx="4">
                  <c:v>-31.2</c:v>
                </c:pt>
                <c:pt idx="5">
                  <c:v>-39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2</xdr:row>
      <xdr:rowOff>57149</xdr:rowOff>
    </xdr:from>
    <xdr:to>
      <xdr:col>18</xdr:col>
      <xdr:colOff>590549</xdr:colOff>
      <xdr:row>23</xdr:row>
      <xdr:rowOff>19049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6" headerRowCount="0" totalsRowShown="0">
  <tableColumns count="1">
    <tableColumn id="1" xr3:uid="{00000000-0010-0000-0000-000001000000}" name="Column1" totalsRowDxfId="1">
      <calculatedColumnFormula>SUM(D4:H4)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06CDFE-D0C9-4D5B-8237-B517287682B2}" name="Table_13" displayName="Table_13" ref="I8:I10" headerRowCount="0" totalsRowShown="0">
  <tableColumns count="1">
    <tableColumn id="1" xr3:uid="{3DF36C76-3B9E-482A-B58D-C6F2269EA527}" name="Column1" totalsRowDxfId="0">
      <calculatedColumnFormula>SUM(D8:H8)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selection activeCell="C16" sqref="C16"/>
    </sheetView>
  </sheetViews>
  <sheetFormatPr baseColWidth="10" defaultColWidth="12.5546875" defaultRowHeight="15" customHeight="1" x14ac:dyDescent="0.25"/>
  <cols>
    <col min="1" max="1" width="12.44140625" customWidth="1"/>
    <col min="2" max="2" width="39.77734375" bestFit="1" customWidth="1"/>
    <col min="3" max="3" width="36" customWidth="1"/>
    <col min="4" max="4" width="37.77734375" bestFit="1" customWidth="1"/>
    <col min="5" max="5" width="66" bestFit="1" customWidth="1"/>
    <col min="6" max="26" width="12.44140625" customWidth="1"/>
  </cols>
  <sheetData>
    <row r="1" spans="1:8" s="11" customFormat="1" ht="15.7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s="13" customFormat="1" ht="15.75" customHeight="1" x14ac:dyDescent="0.25">
      <c r="A2" s="19" t="s">
        <v>8</v>
      </c>
      <c r="B2" s="19" t="s">
        <v>36</v>
      </c>
      <c r="C2" s="19" t="s">
        <v>33</v>
      </c>
      <c r="D2" s="20" t="s">
        <v>9</v>
      </c>
      <c r="E2" s="19" t="s">
        <v>10</v>
      </c>
      <c r="F2" s="21"/>
      <c r="G2" s="19" t="s">
        <v>11</v>
      </c>
      <c r="H2" s="19" t="s">
        <v>34</v>
      </c>
    </row>
    <row r="3" spans="1:8" ht="15.75" customHeight="1" x14ac:dyDescent="0.25">
      <c r="A3" s="19" t="s">
        <v>35</v>
      </c>
      <c r="B3" s="19" t="s">
        <v>37</v>
      </c>
      <c r="C3" s="19" t="s">
        <v>43</v>
      </c>
      <c r="D3" s="20" t="s">
        <v>38</v>
      </c>
      <c r="E3" s="19" t="s">
        <v>39</v>
      </c>
      <c r="F3" s="19"/>
      <c r="G3" s="19" t="s">
        <v>11</v>
      </c>
      <c r="H3" s="19" t="s">
        <v>34</v>
      </c>
    </row>
    <row r="4" spans="1:8" ht="15.75" customHeight="1" x14ac:dyDescent="0.25">
      <c r="A4" s="19" t="s">
        <v>40</v>
      </c>
      <c r="B4" s="19" t="s">
        <v>42</v>
      </c>
      <c r="C4" s="19" t="s">
        <v>33</v>
      </c>
      <c r="D4" s="20" t="s">
        <v>44</v>
      </c>
      <c r="E4" s="19" t="s">
        <v>45</v>
      </c>
      <c r="F4" s="21"/>
      <c r="G4" s="19" t="s">
        <v>11</v>
      </c>
      <c r="H4" s="19" t="s">
        <v>34</v>
      </c>
    </row>
    <row r="5" spans="1:8" ht="15.75" customHeight="1" x14ac:dyDescent="0.25">
      <c r="A5" s="19" t="s">
        <v>41</v>
      </c>
      <c r="B5" s="19" t="s">
        <v>46</v>
      </c>
      <c r="C5" s="19" t="s">
        <v>47</v>
      </c>
      <c r="D5" s="20" t="s">
        <v>48</v>
      </c>
      <c r="E5" s="19" t="s">
        <v>49</v>
      </c>
      <c r="F5" s="21"/>
      <c r="G5" s="19" t="s">
        <v>11</v>
      </c>
      <c r="H5" s="19" t="s">
        <v>34</v>
      </c>
    </row>
    <row r="6" spans="1:8" ht="15.75" customHeight="1" x14ac:dyDescent="0.25">
      <c r="A6" s="15"/>
      <c r="B6" s="8"/>
      <c r="C6" s="8"/>
      <c r="D6" s="18"/>
      <c r="E6" s="8"/>
      <c r="F6" s="9"/>
      <c r="G6" s="8"/>
      <c r="H6" s="8"/>
    </row>
    <row r="7" spans="1:8" ht="15.75" customHeight="1" x14ac:dyDescent="0.25">
      <c r="B7" s="3"/>
      <c r="C7" s="3"/>
      <c r="D7" s="3"/>
      <c r="E7" s="3"/>
      <c r="G7" s="3"/>
      <c r="H7" s="3"/>
    </row>
    <row r="8" spans="1:8" ht="15.75" customHeight="1" x14ac:dyDescent="0.25">
      <c r="A8" s="3"/>
    </row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70"/>
  <sheetViews>
    <sheetView workbookViewId="0">
      <selection activeCell="C19" sqref="C19:F19"/>
    </sheetView>
  </sheetViews>
  <sheetFormatPr baseColWidth="10" defaultColWidth="12.5546875" defaultRowHeight="15" customHeight="1" x14ac:dyDescent="0.25"/>
  <cols>
    <col min="1" max="2" width="12.44140625" customWidth="1"/>
    <col min="3" max="4" width="18.77734375" customWidth="1"/>
    <col min="5" max="5" width="37.77734375" bestFit="1" customWidth="1"/>
    <col min="6" max="6" width="56.218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s="13" customFormat="1" ht="15.75" customHeight="1" x14ac:dyDescent="0.25">
      <c r="B4" s="22" t="s">
        <v>8</v>
      </c>
      <c r="C4" s="22" t="s">
        <v>36</v>
      </c>
      <c r="D4" s="22" t="s">
        <v>33</v>
      </c>
      <c r="E4" s="23" t="s">
        <v>9</v>
      </c>
      <c r="F4" s="22" t="s">
        <v>10</v>
      </c>
      <c r="G4" s="24"/>
      <c r="H4" s="22" t="s">
        <v>11</v>
      </c>
      <c r="I4" s="22" t="s">
        <v>34</v>
      </c>
    </row>
    <row r="5" spans="2:9" s="13" customFormat="1" ht="15.75" customHeight="1" x14ac:dyDescent="0.25">
      <c r="B5" s="12"/>
      <c r="C5" s="14" t="s">
        <v>17</v>
      </c>
      <c r="D5" s="12"/>
      <c r="E5" s="12"/>
      <c r="F5" s="12"/>
      <c r="G5" s="14" t="s">
        <v>18</v>
      </c>
      <c r="H5" s="12"/>
      <c r="I5" s="14" t="s">
        <v>19</v>
      </c>
    </row>
    <row r="6" spans="2:9" s="13" customFormat="1" ht="15.75" customHeight="1" x14ac:dyDescent="0.25">
      <c r="B6" s="12" t="s">
        <v>20</v>
      </c>
      <c r="C6" s="29" t="s">
        <v>21</v>
      </c>
      <c r="D6" s="30"/>
      <c r="E6" s="30"/>
      <c r="F6" s="30"/>
      <c r="G6" s="12" t="s">
        <v>54</v>
      </c>
      <c r="H6" s="12"/>
      <c r="I6" s="17">
        <v>5</v>
      </c>
    </row>
    <row r="7" spans="2:9" s="13" customFormat="1" ht="15.75" customHeight="1" x14ac:dyDescent="0.25">
      <c r="B7" s="12" t="s">
        <v>22</v>
      </c>
      <c r="C7" s="29" t="s">
        <v>59</v>
      </c>
      <c r="D7" s="30"/>
      <c r="E7" s="30"/>
      <c r="F7" s="30"/>
      <c r="G7" s="15" t="s">
        <v>54</v>
      </c>
      <c r="H7" s="12"/>
      <c r="I7" s="17">
        <v>3</v>
      </c>
    </row>
    <row r="8" spans="2:9" s="13" customFormat="1" ht="15.75" customHeight="1" x14ac:dyDescent="0.25">
      <c r="B8" s="12" t="s">
        <v>23</v>
      </c>
      <c r="C8" s="29" t="s">
        <v>60</v>
      </c>
      <c r="D8" s="30"/>
      <c r="E8" s="30"/>
      <c r="F8" s="30"/>
      <c r="G8" s="15" t="s">
        <v>54</v>
      </c>
      <c r="H8" s="12"/>
      <c r="I8" s="12">
        <v>3</v>
      </c>
    </row>
    <row r="9" spans="2:9" ht="15.75" customHeight="1" x14ac:dyDescent="0.25">
      <c r="B9" s="1"/>
      <c r="C9" s="1"/>
      <c r="D9" s="1"/>
      <c r="E9" s="1"/>
      <c r="F9" s="1"/>
      <c r="G9" s="1"/>
      <c r="H9" s="1"/>
      <c r="I9" s="1"/>
    </row>
    <row r="10" spans="2:9" ht="15.75" customHeight="1" x14ac:dyDescent="0.25">
      <c r="B10" s="22" t="s">
        <v>35</v>
      </c>
      <c r="C10" s="22" t="s">
        <v>37</v>
      </c>
      <c r="D10" s="22" t="s">
        <v>43</v>
      </c>
      <c r="E10" s="23" t="s">
        <v>38</v>
      </c>
      <c r="F10" s="22" t="s">
        <v>39</v>
      </c>
      <c r="G10" s="22"/>
      <c r="H10" s="22" t="s">
        <v>11</v>
      </c>
      <c r="I10" s="22" t="s">
        <v>34</v>
      </c>
    </row>
    <row r="11" spans="2:9" ht="15.75" customHeight="1" x14ac:dyDescent="0.25">
      <c r="B11" s="15"/>
      <c r="C11" s="14" t="s">
        <v>17</v>
      </c>
      <c r="D11" s="16"/>
      <c r="E11" s="16"/>
      <c r="F11" s="16"/>
      <c r="G11" s="14" t="s">
        <v>18</v>
      </c>
      <c r="H11" s="16"/>
      <c r="I11" s="17" t="s">
        <v>19</v>
      </c>
    </row>
    <row r="12" spans="2:9" ht="15.75" customHeight="1" x14ac:dyDescent="0.25">
      <c r="B12" s="16" t="s">
        <v>50</v>
      </c>
      <c r="C12" s="27" t="s">
        <v>53</v>
      </c>
      <c r="D12" s="27"/>
      <c r="E12" s="27"/>
      <c r="F12" s="27"/>
      <c r="G12" s="16" t="s">
        <v>54</v>
      </c>
      <c r="H12" s="16"/>
      <c r="I12" s="16">
        <v>5</v>
      </c>
    </row>
    <row r="13" spans="2:9" ht="15.75" customHeight="1" x14ac:dyDescent="0.25">
      <c r="B13" s="16" t="s">
        <v>51</v>
      </c>
      <c r="C13" s="27" t="s">
        <v>52</v>
      </c>
      <c r="D13" s="27"/>
      <c r="E13" s="27"/>
      <c r="F13" s="27"/>
      <c r="G13" s="16" t="s">
        <v>54</v>
      </c>
      <c r="H13" s="16"/>
      <c r="I13" s="16">
        <v>5</v>
      </c>
    </row>
    <row r="14" spans="2:9" ht="15.75" customHeight="1" x14ac:dyDescent="0.25">
      <c r="B14" s="21"/>
      <c r="C14" s="21"/>
      <c r="D14" s="21"/>
      <c r="E14" s="21"/>
      <c r="F14" s="21"/>
    </row>
    <row r="15" spans="2:9" ht="15.75" customHeight="1" x14ac:dyDescent="0.25">
      <c r="B15" s="22" t="s">
        <v>40</v>
      </c>
      <c r="C15" s="22" t="s">
        <v>42</v>
      </c>
      <c r="D15" s="22" t="s">
        <v>33</v>
      </c>
      <c r="E15" s="23" t="s">
        <v>44</v>
      </c>
      <c r="F15" s="22" t="s">
        <v>45</v>
      </c>
      <c r="G15" s="24"/>
      <c r="H15" s="22" t="s">
        <v>11</v>
      </c>
      <c r="I15" s="22" t="s">
        <v>34</v>
      </c>
    </row>
    <row r="16" spans="2:9" ht="15.75" customHeight="1" x14ac:dyDescent="0.25">
      <c r="B16" s="16"/>
      <c r="C16" s="25" t="s">
        <v>17</v>
      </c>
      <c r="D16" s="16"/>
      <c r="E16" s="16"/>
      <c r="F16" s="16"/>
      <c r="G16" s="25" t="s">
        <v>55</v>
      </c>
      <c r="H16" s="16"/>
      <c r="I16" s="25" t="s">
        <v>19</v>
      </c>
    </row>
    <row r="17" spans="2:9" ht="15.75" customHeight="1" x14ac:dyDescent="0.25">
      <c r="B17" s="16" t="s">
        <v>56</v>
      </c>
      <c r="C17" s="27" t="s">
        <v>61</v>
      </c>
      <c r="D17" s="27"/>
      <c r="E17" s="27"/>
      <c r="F17" s="27"/>
      <c r="G17" s="16" t="s">
        <v>64</v>
      </c>
      <c r="H17" s="16"/>
      <c r="I17" s="16">
        <v>4</v>
      </c>
    </row>
    <row r="18" spans="2:9" ht="15.75" customHeight="1" x14ac:dyDescent="0.25">
      <c r="B18" s="16" t="s">
        <v>57</v>
      </c>
      <c r="C18" s="27" t="s">
        <v>62</v>
      </c>
      <c r="D18" s="27"/>
      <c r="E18" s="27"/>
      <c r="F18" s="27"/>
      <c r="G18" s="16" t="s">
        <v>64</v>
      </c>
      <c r="H18" s="16"/>
      <c r="I18" s="16">
        <v>4</v>
      </c>
    </row>
    <row r="19" spans="2:9" ht="15.75" customHeight="1" x14ac:dyDescent="0.25">
      <c r="B19" s="16" t="s">
        <v>58</v>
      </c>
      <c r="C19" s="27" t="s">
        <v>63</v>
      </c>
      <c r="D19" s="27"/>
      <c r="E19" s="27"/>
      <c r="F19" s="27"/>
      <c r="G19" s="16" t="s">
        <v>64</v>
      </c>
      <c r="H19" s="16"/>
      <c r="I19" s="16">
        <v>4</v>
      </c>
    </row>
    <row r="20" spans="2:9" ht="15.75" customHeight="1" x14ac:dyDescent="0.25"/>
    <row r="21" spans="2:9" ht="15.75" customHeight="1" x14ac:dyDescent="0.25">
      <c r="B21" s="22" t="s">
        <v>41</v>
      </c>
      <c r="C21" s="22" t="s">
        <v>46</v>
      </c>
      <c r="D21" s="22" t="s">
        <v>47</v>
      </c>
      <c r="E21" s="23" t="s">
        <v>48</v>
      </c>
      <c r="F21" s="22" t="s">
        <v>49</v>
      </c>
      <c r="G21" s="24"/>
      <c r="H21" s="22" t="s">
        <v>11</v>
      </c>
      <c r="I21" s="22" t="s">
        <v>34</v>
      </c>
    </row>
    <row r="22" spans="2:9" ht="15.75" customHeight="1" x14ac:dyDescent="0.25">
      <c r="B22" s="16"/>
      <c r="C22" s="25" t="s">
        <v>65</v>
      </c>
      <c r="D22" s="16"/>
      <c r="E22" s="16"/>
      <c r="F22" s="16"/>
      <c r="G22" s="25" t="s">
        <v>55</v>
      </c>
      <c r="H22" s="16"/>
      <c r="I22" s="25" t="s">
        <v>66</v>
      </c>
    </row>
    <row r="23" spans="2:9" ht="15.75" customHeight="1" x14ac:dyDescent="0.25">
      <c r="B23" s="16" t="s">
        <v>67</v>
      </c>
      <c r="C23" s="27" t="s">
        <v>69</v>
      </c>
      <c r="D23" s="27"/>
      <c r="E23" s="27"/>
      <c r="F23" s="27"/>
      <c r="G23" s="16" t="s">
        <v>64</v>
      </c>
      <c r="H23" s="16"/>
      <c r="I23" s="16">
        <v>3</v>
      </c>
    </row>
    <row r="24" spans="2:9" ht="15.75" customHeight="1" x14ac:dyDescent="0.25">
      <c r="B24" s="16" t="s">
        <v>68</v>
      </c>
      <c r="C24" s="27" t="s">
        <v>70</v>
      </c>
      <c r="D24" s="27"/>
      <c r="E24" s="27"/>
      <c r="F24" s="27"/>
      <c r="G24" s="16" t="s">
        <v>64</v>
      </c>
      <c r="H24" s="16"/>
      <c r="I24" s="16">
        <v>3</v>
      </c>
    </row>
    <row r="25" spans="2:9" ht="15.75" customHeight="1" x14ac:dyDescent="0.25">
      <c r="B25" s="16"/>
      <c r="C25" s="28"/>
      <c r="D25" s="28"/>
      <c r="E25" s="28"/>
      <c r="F25" s="28"/>
      <c r="G25" s="16"/>
      <c r="H25" s="16"/>
      <c r="I25" s="16"/>
    </row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</sheetData>
  <mergeCells count="11">
    <mergeCell ref="C6:F6"/>
    <mergeCell ref="C7:F7"/>
    <mergeCell ref="C8:F8"/>
    <mergeCell ref="C12:F12"/>
    <mergeCell ref="C13:F13"/>
    <mergeCell ref="C24:F24"/>
    <mergeCell ref="C25:F25"/>
    <mergeCell ref="C17:F17"/>
    <mergeCell ref="C18:F18"/>
    <mergeCell ref="C19:F19"/>
    <mergeCell ref="C23:F23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6"/>
  <sheetViews>
    <sheetView tabSelected="1" zoomScale="80" zoomScaleNormal="80" workbookViewId="0">
      <selection activeCell="E16" sqref="E16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19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</row>
    <row r="4" spans="1:9" ht="15.75" customHeight="1" x14ac:dyDescent="0.25">
      <c r="B4" s="2" t="s">
        <v>20</v>
      </c>
      <c r="C4" s="5">
        <v>5</v>
      </c>
      <c r="D4" s="4">
        <v>3</v>
      </c>
      <c r="E4" s="4">
        <v>2</v>
      </c>
      <c r="F4" s="4">
        <v>1</v>
      </c>
      <c r="G4" s="4">
        <v>1</v>
      </c>
      <c r="H4" s="4">
        <v>0</v>
      </c>
      <c r="I4" s="6">
        <f>SUM(D4:H4)</f>
        <v>7</v>
      </c>
    </row>
    <row r="5" spans="1:9" ht="15.75" customHeight="1" x14ac:dyDescent="0.25">
      <c r="B5" s="2" t="s">
        <v>22</v>
      </c>
      <c r="C5" s="5">
        <v>3</v>
      </c>
      <c r="D5" s="4">
        <v>0</v>
      </c>
      <c r="E5" s="4">
        <v>1</v>
      </c>
      <c r="F5" s="4">
        <v>1</v>
      </c>
      <c r="G5" s="4">
        <v>0</v>
      </c>
      <c r="H5" s="4">
        <v>1</v>
      </c>
      <c r="I5" s="6">
        <f t="shared" ref="I5:I6" si="0">SUM(D5:H5)</f>
        <v>3</v>
      </c>
    </row>
    <row r="6" spans="1:9" ht="15.75" customHeight="1" x14ac:dyDescent="0.25">
      <c r="A6" s="3"/>
      <c r="B6" s="2" t="s">
        <v>23</v>
      </c>
      <c r="C6" s="5">
        <v>3</v>
      </c>
      <c r="D6" s="4">
        <v>0</v>
      </c>
      <c r="E6" s="4">
        <v>1</v>
      </c>
      <c r="F6" s="4">
        <v>0</v>
      </c>
      <c r="G6" s="4">
        <v>2</v>
      </c>
      <c r="H6" s="4">
        <v>1</v>
      </c>
      <c r="I6" s="6">
        <f t="shared" si="0"/>
        <v>4</v>
      </c>
    </row>
    <row r="7" spans="1:9" ht="15.75" customHeight="1" x14ac:dyDescent="0.25"/>
    <row r="8" spans="1:9" ht="15.75" customHeight="1" x14ac:dyDescent="0.25">
      <c r="B8" s="2" t="s">
        <v>50</v>
      </c>
      <c r="C8" s="5">
        <v>5</v>
      </c>
      <c r="D8" s="4">
        <v>1</v>
      </c>
      <c r="E8" s="4">
        <v>1</v>
      </c>
      <c r="F8" s="4">
        <v>1</v>
      </c>
      <c r="G8" s="4">
        <v>2</v>
      </c>
      <c r="H8" s="4">
        <v>0</v>
      </c>
      <c r="I8" s="6">
        <f>SUM(D8:H8)</f>
        <v>5</v>
      </c>
    </row>
    <row r="9" spans="1:9" ht="15.75" customHeight="1" x14ac:dyDescent="0.25">
      <c r="B9" s="2" t="s">
        <v>51</v>
      </c>
      <c r="C9" s="5">
        <v>5</v>
      </c>
      <c r="D9" s="4">
        <v>0</v>
      </c>
      <c r="E9" s="4">
        <v>1</v>
      </c>
      <c r="F9" s="4">
        <v>1</v>
      </c>
      <c r="G9" s="4">
        <v>1</v>
      </c>
      <c r="H9" s="4">
        <v>0</v>
      </c>
      <c r="I9" s="6">
        <f t="shared" ref="I9" si="1">SUM(D9:H9)</f>
        <v>3</v>
      </c>
    </row>
    <row r="10" spans="1:9" ht="15.75" customHeight="1" x14ac:dyDescent="0.25"/>
    <row r="11" spans="1:9" ht="15.75" customHeight="1" x14ac:dyDescent="0.25">
      <c r="B11" s="2" t="s">
        <v>56</v>
      </c>
      <c r="C11" s="5">
        <v>4</v>
      </c>
      <c r="D11" s="4">
        <v>0</v>
      </c>
      <c r="E11" s="4">
        <v>2</v>
      </c>
      <c r="F11" s="4">
        <v>1</v>
      </c>
      <c r="G11" s="4">
        <v>0</v>
      </c>
      <c r="H11" s="4">
        <v>0</v>
      </c>
      <c r="I11" s="6">
        <f>SUM(D11:H11)</f>
        <v>3</v>
      </c>
    </row>
    <row r="12" spans="1:9" ht="15.75" customHeight="1" x14ac:dyDescent="0.25">
      <c r="B12" s="2" t="s">
        <v>57</v>
      </c>
      <c r="C12" s="5">
        <v>4</v>
      </c>
      <c r="D12" s="4">
        <v>2</v>
      </c>
      <c r="E12" s="4">
        <v>1</v>
      </c>
      <c r="F12" s="4">
        <v>0</v>
      </c>
      <c r="G12" s="4">
        <v>1</v>
      </c>
      <c r="H12" s="4">
        <v>0</v>
      </c>
      <c r="I12" s="6">
        <f t="shared" ref="I12:I13" si="2">SUM(D12:H12)</f>
        <v>4</v>
      </c>
    </row>
    <row r="13" spans="1:9" ht="15.75" customHeight="1" x14ac:dyDescent="0.25">
      <c r="B13" s="2" t="s">
        <v>58</v>
      </c>
      <c r="C13" s="5">
        <v>4</v>
      </c>
      <c r="D13" s="4">
        <v>1</v>
      </c>
      <c r="E13" s="4">
        <v>1</v>
      </c>
      <c r="F13" s="4">
        <v>1</v>
      </c>
      <c r="G13" s="4">
        <v>2</v>
      </c>
      <c r="H13" s="4">
        <v>0</v>
      </c>
      <c r="I13" s="6">
        <f t="shared" si="2"/>
        <v>5</v>
      </c>
    </row>
    <row r="14" spans="1:9" ht="15.75" customHeight="1" x14ac:dyDescent="0.25"/>
    <row r="15" spans="1:9" ht="15.75" customHeight="1" x14ac:dyDescent="0.25">
      <c r="B15" s="2" t="s">
        <v>67</v>
      </c>
      <c r="C15" s="5">
        <v>3</v>
      </c>
      <c r="D15" s="4">
        <v>0</v>
      </c>
      <c r="E15" s="4">
        <v>1</v>
      </c>
      <c r="F15" s="4">
        <v>0</v>
      </c>
      <c r="G15" s="4">
        <v>1</v>
      </c>
      <c r="H15" s="4">
        <v>1</v>
      </c>
      <c r="I15" s="6">
        <f>SUM(D15:H15)</f>
        <v>3</v>
      </c>
    </row>
    <row r="16" spans="1:9" ht="15.75" customHeight="1" x14ac:dyDescent="0.25">
      <c r="B16" s="2" t="s">
        <v>68</v>
      </c>
      <c r="C16" s="5">
        <v>3</v>
      </c>
      <c r="D16" s="4">
        <v>0</v>
      </c>
      <c r="E16" s="4">
        <v>1</v>
      </c>
      <c r="F16" s="4">
        <v>1</v>
      </c>
      <c r="G16" s="4">
        <v>0</v>
      </c>
      <c r="H16" s="4">
        <v>0</v>
      </c>
      <c r="I16" s="6">
        <f t="shared" ref="I16" si="3">SUM(D16:H16)</f>
        <v>2</v>
      </c>
    </row>
    <row r="17" spans="2:9" ht="15.75" customHeight="1" x14ac:dyDescent="0.25"/>
    <row r="18" spans="2:9" ht="15.75" customHeight="1" x14ac:dyDescent="0.25"/>
    <row r="19" spans="2:9" ht="15.75" customHeight="1" x14ac:dyDescent="0.25"/>
    <row r="20" spans="2:9" ht="15.75" customHeight="1" x14ac:dyDescent="0.25"/>
    <row r="21" spans="2:9" ht="15.75" customHeight="1" x14ac:dyDescent="0.25">
      <c r="B21" s="3"/>
      <c r="C21" s="3"/>
      <c r="D21" s="3"/>
      <c r="E21" s="3"/>
      <c r="F21" s="3"/>
      <c r="G21" s="3"/>
      <c r="H21" s="3"/>
      <c r="I21" s="3"/>
    </row>
    <row r="22" spans="2:9" ht="15.75" customHeight="1" x14ac:dyDescent="0.25"/>
    <row r="23" spans="2:9" ht="15.75" customHeight="1" x14ac:dyDescent="0.25">
      <c r="B23" s="7" t="s">
        <v>30</v>
      </c>
      <c r="C23" s="3">
        <v>0</v>
      </c>
      <c r="D23" s="3">
        <f>C23-SUM(D4:D6,D8:D9,D11:D13,D15:D16)</f>
        <v>-7</v>
      </c>
      <c r="E23" s="3">
        <f>D23-SUM(E4:E6,E8:E9,E11:E13,E15:E16)</f>
        <v>-19</v>
      </c>
      <c r="F23" s="3">
        <f>E23-SUM(F4:F6,F8:F9,F11:F13,F15:F16)</f>
        <v>-26</v>
      </c>
      <c r="G23" s="3">
        <f>F23-SUM(G4:G6,G8:G9,G11:G13,G15:G16)</f>
        <v>-36</v>
      </c>
      <c r="H23" s="3">
        <f>G23-SUM(H4:H6,H8:H9,H11:H13,H15:H16)</f>
        <v>-39</v>
      </c>
    </row>
    <row r="24" spans="2:9" ht="15.75" customHeight="1" x14ac:dyDescent="0.25">
      <c r="B24" s="7" t="s">
        <v>31</v>
      </c>
      <c r="C24" s="3">
        <v>0</v>
      </c>
      <c r="D24" s="3">
        <f>C24-(SUM(C4:C6,C8:C9,C11:C13,C15:C16)/5)</f>
        <v>-7.8</v>
      </c>
      <c r="E24" s="3">
        <f>D24-(SUM(C4:C6,C8:C9,C11:C13,C15:C16)/5)</f>
        <v>-15.6</v>
      </c>
      <c r="F24" s="3">
        <f>E24-(SUM(C4:C6,C8:C9,C11:C13,C15:C16)/5)</f>
        <v>-23.4</v>
      </c>
      <c r="G24" s="3">
        <f>F24-(SUM(C4:C6,C8:C9,C11:C13,C15:C16)/5)</f>
        <v>-31.2</v>
      </c>
      <c r="H24" s="3">
        <f>G24-(SUM(C4:C6,C8:C9,C11:C13,C15:C16)/5)</f>
        <v>-39</v>
      </c>
      <c r="I24" s="26"/>
    </row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>
      <c r="B30" s="32"/>
      <c r="C30" s="33"/>
      <c r="D30" s="33"/>
      <c r="E30" s="33"/>
      <c r="F30" s="33"/>
      <c r="G30" s="33"/>
      <c r="H30" s="33"/>
      <c r="I30" s="34"/>
    </row>
    <row r="31" spans="2:9" ht="15.75" customHeight="1" x14ac:dyDescent="0.25">
      <c r="B31" s="32"/>
      <c r="C31" s="33"/>
      <c r="D31" s="33"/>
      <c r="E31" s="33"/>
      <c r="F31" s="33"/>
      <c r="G31" s="33"/>
      <c r="H31" s="33"/>
      <c r="I31" s="34"/>
    </row>
    <row r="32" spans="2:9" ht="15.75" customHeight="1" x14ac:dyDescent="0.25">
      <c r="B32" s="34"/>
      <c r="C32" s="34"/>
      <c r="D32" s="34"/>
      <c r="E32" s="34"/>
      <c r="F32" s="34"/>
      <c r="G32" s="34"/>
      <c r="H32" s="34"/>
      <c r="I32" s="34"/>
    </row>
    <row r="33" spans="2:9" ht="15.75" customHeight="1" x14ac:dyDescent="0.25">
      <c r="B33" s="32"/>
      <c r="C33" s="33"/>
      <c r="D33" s="33"/>
      <c r="E33" s="33"/>
      <c r="F33" s="33"/>
      <c r="G33" s="33"/>
      <c r="H33" s="33"/>
      <c r="I33" s="34"/>
    </row>
    <row r="34" spans="2:9" ht="15.75" customHeight="1" x14ac:dyDescent="0.25">
      <c r="B34" s="32"/>
      <c r="C34" s="33"/>
      <c r="D34" s="33"/>
      <c r="E34" s="33"/>
      <c r="F34" s="33"/>
      <c r="G34" s="33"/>
      <c r="H34" s="33"/>
      <c r="I34" s="34"/>
    </row>
    <row r="35" spans="2:9" ht="15.75" customHeight="1" x14ac:dyDescent="0.25">
      <c r="B35" s="34"/>
      <c r="C35" s="34"/>
      <c r="D35" s="34"/>
      <c r="E35" s="34"/>
      <c r="F35" s="34"/>
      <c r="G35" s="34"/>
      <c r="H35" s="34"/>
      <c r="I35" s="34"/>
    </row>
    <row r="36" spans="2:9" ht="15.75" customHeight="1" x14ac:dyDescent="0.25">
      <c r="B36" s="32"/>
      <c r="C36" s="33"/>
      <c r="D36" s="33"/>
      <c r="E36" s="33"/>
      <c r="F36" s="33"/>
      <c r="G36" s="33"/>
      <c r="H36" s="33"/>
      <c r="I36" s="34"/>
    </row>
    <row r="37" spans="2:9" ht="15.75" customHeight="1" x14ac:dyDescent="0.25">
      <c r="B37" s="32"/>
      <c r="C37" s="33"/>
      <c r="D37" s="33"/>
      <c r="E37" s="33"/>
      <c r="F37" s="33"/>
      <c r="G37" s="33"/>
      <c r="H37" s="33"/>
      <c r="I37" s="34"/>
    </row>
    <row r="38" spans="2:9" ht="15.75" customHeight="1" x14ac:dyDescent="0.25"/>
    <row r="39" spans="2:9" ht="15.75" customHeight="1" x14ac:dyDescent="0.25">
      <c r="B39" s="31" t="s">
        <v>32</v>
      </c>
      <c r="C39" s="31"/>
      <c r="D39" s="31"/>
      <c r="E39" s="31"/>
      <c r="F39" s="31"/>
      <c r="G39" s="31"/>
    </row>
    <row r="40" spans="2:9" ht="15.75" customHeight="1" x14ac:dyDescent="0.25">
      <c r="B40" s="31"/>
      <c r="C40" s="31"/>
      <c r="D40" s="31"/>
      <c r="E40" s="31"/>
      <c r="F40" s="31"/>
      <c r="G40" s="31"/>
    </row>
    <row r="41" spans="2:9" ht="15.75" customHeight="1" x14ac:dyDescent="0.25">
      <c r="B41" s="31"/>
      <c r="C41" s="31"/>
      <c r="D41" s="31"/>
      <c r="E41" s="31"/>
      <c r="F41" s="31"/>
      <c r="G41" s="31"/>
    </row>
    <row r="42" spans="2:9" ht="15.75" customHeight="1" x14ac:dyDescent="0.25">
      <c r="B42" s="31"/>
      <c r="C42" s="31"/>
      <c r="D42" s="31"/>
      <c r="E42" s="31"/>
      <c r="F42" s="31"/>
      <c r="G42" s="31"/>
    </row>
    <row r="43" spans="2:9" ht="15.75" customHeight="1" x14ac:dyDescent="0.25">
      <c r="B43" s="31"/>
      <c r="C43" s="31"/>
      <c r="D43" s="31"/>
      <c r="E43" s="31"/>
      <c r="F43" s="31"/>
      <c r="G43" s="31"/>
    </row>
    <row r="44" spans="2:9" ht="15.75" customHeight="1" x14ac:dyDescent="0.25">
      <c r="B44" s="31"/>
      <c r="C44" s="31"/>
      <c r="D44" s="31"/>
      <c r="E44" s="31"/>
      <c r="F44" s="31"/>
      <c r="G44" s="31"/>
    </row>
    <row r="45" spans="2:9" ht="15.75" customHeight="1" x14ac:dyDescent="0.25">
      <c r="B45" s="31"/>
      <c r="C45" s="31"/>
      <c r="D45" s="31"/>
      <c r="E45" s="31"/>
      <c r="F45" s="31"/>
      <c r="G45" s="31"/>
    </row>
    <row r="46" spans="2:9" ht="15.75" customHeight="1" x14ac:dyDescent="0.25">
      <c r="B46" s="31"/>
      <c r="C46" s="31"/>
      <c r="D46" s="31"/>
      <c r="E46" s="31"/>
      <c r="F46" s="31"/>
      <c r="G46" s="31"/>
    </row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1">
    <mergeCell ref="B39:G46"/>
  </mergeCells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Zavala</cp:lastModifiedBy>
  <dcterms:created xsi:type="dcterms:W3CDTF">2023-06-05T13:12:31Z</dcterms:created>
  <dcterms:modified xsi:type="dcterms:W3CDTF">2025-06-30T16:27:44Z</dcterms:modified>
</cp:coreProperties>
</file>