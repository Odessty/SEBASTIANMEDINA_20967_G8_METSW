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03685C-DC4E-4C55-BF23-D35FB0D2EE0E}" xr6:coauthVersionLast="47" xr6:coauthVersionMax="47" xr10:uidLastSave="{00000000-0000-0000-0000-000000000000}"/>
  <workbookProtection lockStructure="1"/>
  <bookViews>
    <workbookView xWindow="-108" yWindow="-108" windowWidth="23256" windowHeight="12456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49" i="5"/>
  <c r="K31" i="5"/>
  <c r="K64" i="5"/>
  <c r="K71" i="5"/>
  <c r="K13" i="5"/>
  <c r="K34" i="5"/>
  <c r="K47" i="5"/>
  <c r="K72" i="5"/>
  <c r="K38" i="5"/>
  <c r="K101" i="5"/>
  <c r="K81" i="5"/>
  <c r="K80" i="5"/>
  <c r="K95" i="5"/>
  <c r="K90" i="5"/>
  <c r="K52" i="5"/>
  <c r="K46" i="5"/>
  <c r="K32" i="5"/>
  <c r="K67" i="5"/>
  <c r="K57" i="5"/>
  <c r="K18" i="5"/>
  <c r="K48" i="5"/>
  <c r="K51" i="5"/>
  <c r="K22" i="5"/>
  <c r="K45" i="5"/>
  <c r="K96" i="5"/>
  <c r="K94" i="5"/>
  <c r="K92" i="5"/>
  <c r="K87" i="5"/>
  <c r="K61" i="5"/>
  <c r="K62" i="5"/>
  <c r="K60" i="5"/>
  <c r="K65" i="5"/>
  <c r="K41" i="5"/>
  <c r="K85" i="5"/>
  <c r="K30" i="5"/>
  <c r="K91" i="5"/>
  <c r="K100" i="5"/>
  <c r="K21" i="5"/>
  <c r="K74" i="5"/>
  <c r="K98" i="5"/>
  <c r="K56" i="5"/>
  <c r="K2" i="5"/>
  <c r="K23" i="5"/>
  <c r="K8" i="5"/>
  <c r="K79" i="5"/>
  <c r="K25" i="5"/>
  <c r="K59" i="5"/>
  <c r="K9" i="5"/>
  <c r="K77" i="5"/>
  <c r="K89" i="5"/>
  <c r="K16" i="5"/>
  <c r="K86" i="5"/>
  <c r="K88" i="5"/>
  <c r="K82" i="5"/>
  <c r="K58" i="5"/>
  <c r="K12" i="5"/>
  <c r="K50" i="5"/>
  <c r="K83" i="5"/>
  <c r="K28" i="5"/>
  <c r="K39" i="5"/>
  <c r="K69" i="5"/>
  <c r="K26" i="5"/>
  <c r="K42" i="5"/>
  <c r="K15" i="5"/>
  <c r="K19" i="5"/>
  <c r="K55" i="5"/>
  <c r="K68" i="5"/>
  <c r="K70" i="5"/>
  <c r="K27" i="5"/>
  <c r="K75" i="5"/>
  <c r="K14" i="5"/>
  <c r="K35" i="5"/>
  <c r="K63" i="5"/>
  <c r="K43" i="5"/>
  <c r="K11" i="5"/>
  <c r="K3" i="5"/>
  <c r="K10" i="5"/>
  <c r="K84" i="5"/>
  <c r="K53" i="5"/>
  <c r="K20" i="5"/>
  <c r="K24" i="5"/>
  <c r="K5" i="5"/>
  <c r="K76" i="5"/>
  <c r="K40" i="5"/>
  <c r="K44" i="5"/>
  <c r="K37" i="5"/>
  <c r="K17" i="5"/>
  <c r="K36" i="5"/>
  <c r="K33" i="5"/>
  <c r="K97" i="5"/>
  <c r="K6" i="5"/>
  <c r="K54" i="5"/>
  <c r="K66" i="5"/>
  <c r="K78" i="5"/>
  <c r="K99" i="5"/>
  <c r="K93" i="5"/>
  <c r="K73" i="5"/>
  <c r="K29" i="5"/>
  <c r="K7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L43" i="5"/>
  <c r="M58" i="5"/>
  <c r="L35" i="5"/>
  <c r="N92" i="5"/>
  <c r="L82" i="5"/>
  <c r="L96" i="5"/>
  <c r="M65" i="5"/>
  <c r="M34" i="5"/>
  <c r="L80" i="5"/>
  <c r="M41" i="5"/>
  <c r="L9" i="5"/>
  <c r="M43" i="5"/>
  <c r="N40" i="5"/>
  <c r="L86" i="5"/>
  <c r="L51" i="5"/>
  <c r="M96" i="5"/>
  <c r="N50" i="5"/>
  <c r="M24" i="5"/>
  <c r="L29" i="5"/>
  <c r="N69" i="5"/>
  <c r="N88" i="5"/>
  <c r="L84" i="5"/>
  <c r="L30" i="5"/>
  <c r="L19" i="5"/>
  <c r="M46" i="5"/>
  <c r="L44" i="5"/>
  <c r="L98" i="5"/>
  <c r="M39" i="5"/>
  <c r="N61" i="5"/>
  <c r="M51" i="5"/>
  <c r="N17" i="5"/>
  <c r="M63" i="5"/>
  <c r="L42" i="5"/>
  <c r="M3" i="5"/>
  <c r="L78" i="5"/>
  <c r="M84" i="5"/>
  <c r="N67" i="5"/>
  <c r="L65" i="5"/>
  <c r="N65" i="5"/>
  <c r="N79" i="5"/>
  <c r="M17" i="5"/>
  <c r="M74" i="5"/>
  <c r="M78" i="5"/>
  <c r="L48" i="5"/>
  <c r="N55" i="5"/>
  <c r="M89" i="5"/>
  <c r="N13" i="5"/>
  <c r="L53" i="5"/>
  <c r="M66" i="5"/>
  <c r="N60" i="5"/>
  <c r="L4" i="5"/>
  <c r="N46" i="5"/>
  <c r="N7" i="5"/>
  <c r="N96" i="5"/>
  <c r="M33" i="5"/>
  <c r="N21" i="5"/>
  <c r="N10" i="5"/>
  <c r="L92" i="5"/>
  <c r="L3" i="5"/>
  <c r="N52" i="5"/>
  <c r="L5" i="5"/>
  <c r="L41" i="5"/>
  <c r="M81" i="5"/>
  <c r="M71" i="5"/>
  <c r="M62" i="5"/>
  <c r="M100" i="5"/>
  <c r="L59" i="5"/>
  <c r="L99" i="5"/>
  <c r="N33" i="5"/>
  <c r="M54" i="5"/>
  <c r="N71" i="5"/>
  <c r="N41" i="5"/>
  <c r="L76" i="5"/>
  <c r="L33" i="5"/>
  <c r="M97" i="5"/>
  <c r="L25" i="5"/>
  <c r="L64" i="5"/>
  <c r="N99" i="5"/>
  <c r="L2" i="5"/>
  <c r="L15" i="5"/>
  <c r="M86" i="5"/>
  <c r="M72" i="5"/>
  <c r="M88" i="5"/>
  <c r="N12" i="5"/>
  <c r="L37" i="5"/>
  <c r="L68" i="5"/>
  <c r="N27" i="5"/>
  <c r="M59" i="5"/>
  <c r="N63" i="5"/>
  <c r="L38" i="5"/>
  <c r="M68" i="5"/>
  <c r="L23" i="5"/>
  <c r="L101" i="5"/>
  <c r="N6" i="5"/>
  <c r="M21" i="5"/>
  <c r="L26" i="5"/>
  <c r="M14" i="5"/>
  <c r="M93" i="5"/>
  <c r="L79" i="5"/>
  <c r="M50" i="5"/>
  <c r="M30" i="5"/>
  <c r="N73" i="5"/>
  <c r="M92" i="5"/>
  <c r="L93" i="5"/>
  <c r="L11" i="5"/>
  <c r="L69" i="5"/>
  <c r="L49" i="5"/>
  <c r="N16" i="5"/>
  <c r="N59" i="5"/>
  <c r="L55" i="5"/>
  <c r="N29" i="5"/>
  <c r="N9" i="5"/>
  <c r="N83" i="5"/>
  <c r="L60" i="5"/>
  <c r="L39" i="5"/>
  <c r="M79" i="5"/>
  <c r="L61" i="5"/>
  <c r="M57" i="5"/>
  <c r="M32" i="5"/>
  <c r="N3" i="5"/>
  <c r="L73" i="5"/>
  <c r="L52" i="5"/>
  <c r="N22" i="5"/>
  <c r="L8" i="5"/>
  <c r="N26" i="5"/>
  <c r="N32" i="5"/>
  <c r="M90" i="5"/>
  <c r="L58" i="5"/>
  <c r="M48" i="5"/>
  <c r="N75" i="5"/>
  <c r="N20" i="5"/>
  <c r="M98" i="5"/>
  <c r="M91" i="5"/>
  <c r="M8" i="5"/>
  <c r="L89" i="5"/>
  <c r="N19" i="5"/>
  <c r="M87" i="5"/>
  <c r="M69" i="5"/>
  <c r="L70" i="5"/>
  <c r="M64" i="5"/>
  <c r="M83" i="5"/>
  <c r="L34" i="5"/>
  <c r="M11" i="5"/>
  <c r="M7" i="5"/>
  <c r="N35" i="5"/>
  <c r="N36" i="5"/>
  <c r="L12" i="5"/>
  <c r="L28" i="5"/>
  <c r="L57" i="5"/>
  <c r="L87" i="5"/>
  <c r="L63" i="5"/>
  <c r="N101" i="5"/>
  <c r="M4" i="5"/>
  <c r="M38" i="5"/>
  <c r="M20" i="5"/>
  <c r="M18" i="5"/>
  <c r="M45" i="5"/>
  <c r="M99" i="5"/>
  <c r="N15" i="5"/>
  <c r="M80" i="5"/>
  <c r="M94" i="5"/>
  <c r="M28" i="5"/>
  <c r="L16" i="5"/>
  <c r="L75" i="5"/>
  <c r="L36" i="5"/>
  <c r="L95" i="5"/>
  <c r="L77" i="5"/>
  <c r="N84" i="5"/>
  <c r="N66" i="5"/>
  <c r="M9" i="5"/>
  <c r="L13" i="5"/>
  <c r="N37" i="5"/>
  <c r="L83" i="5"/>
  <c r="N68" i="5"/>
  <c r="N31" i="5"/>
  <c r="N91" i="5"/>
  <c r="M19" i="5"/>
  <c r="L14" i="5"/>
  <c r="N98" i="5"/>
  <c r="M13" i="5"/>
  <c r="N77" i="5"/>
  <c r="M75" i="5"/>
  <c r="M73" i="5"/>
  <c r="N18" i="5"/>
  <c r="N62" i="5"/>
  <c r="N30" i="5"/>
  <c r="M60" i="5"/>
  <c r="M56" i="5"/>
  <c r="N89" i="5"/>
  <c r="L94" i="5"/>
  <c r="M6" i="5"/>
  <c r="L91" i="5"/>
  <c r="N43" i="5"/>
  <c r="M35" i="5"/>
  <c r="L46" i="5"/>
  <c r="M95" i="5"/>
  <c r="N8" i="5"/>
  <c r="L50" i="5"/>
  <c r="N23" i="5"/>
  <c r="N28" i="5"/>
  <c r="N42" i="5"/>
  <c r="M52" i="5"/>
  <c r="N58" i="5"/>
  <c r="L67" i="5"/>
  <c r="L54" i="5"/>
  <c r="M49" i="5"/>
  <c r="N87" i="5"/>
  <c r="N80" i="5"/>
  <c r="L27" i="5"/>
  <c r="N70" i="5"/>
  <c r="L40" i="5"/>
  <c r="N82" i="5"/>
  <c r="M36" i="5"/>
  <c r="L100" i="5"/>
  <c r="L85" i="5"/>
  <c r="L7" i="5"/>
  <c r="L66" i="5"/>
  <c r="N11" i="5"/>
  <c r="L31" i="5"/>
  <c r="N14" i="5"/>
  <c r="M77" i="5"/>
  <c r="L47" i="5"/>
  <c r="L72" i="5"/>
  <c r="L90" i="5"/>
  <c r="N34" i="5"/>
  <c r="M26" i="5"/>
  <c r="L17" i="5"/>
  <c r="L21" i="5"/>
  <c r="M67" i="5"/>
  <c r="M76" i="5"/>
  <c r="N97" i="5"/>
  <c r="M15" i="5"/>
  <c r="N38" i="5"/>
  <c r="M37" i="5"/>
  <c r="N2" i="5"/>
  <c r="N81" i="5"/>
  <c r="M101" i="5"/>
  <c r="M12" i="5"/>
  <c r="N25" i="5"/>
  <c r="N5" i="5"/>
  <c r="L74" i="5"/>
  <c r="M53" i="5"/>
  <c r="M61" i="5"/>
  <c r="N39" i="5"/>
  <c r="N49" i="5"/>
  <c r="L71" i="5"/>
  <c r="N47" i="5"/>
  <c r="N76" i="5"/>
  <c r="M55" i="5"/>
  <c r="M70" i="5"/>
  <c r="M27" i="5"/>
  <c r="L32" i="5"/>
  <c r="N44" i="5"/>
  <c r="M31" i="5"/>
  <c r="N53" i="5"/>
  <c r="L45" i="5"/>
  <c r="N64" i="5"/>
  <c r="L10" i="5"/>
  <c r="N86" i="5"/>
  <c r="N90" i="5"/>
  <c r="L18" i="5"/>
  <c r="N100" i="5"/>
  <c r="L88" i="5"/>
  <c r="M22" i="5"/>
  <c r="M40" i="5"/>
  <c r="M44" i="5"/>
  <c r="L56" i="5"/>
  <c r="N72" i="5"/>
  <c r="M85" i="5"/>
  <c r="L22" i="5"/>
  <c r="M47" i="5"/>
  <c r="M42" i="5"/>
  <c r="N54" i="5"/>
  <c r="M2" i="5"/>
  <c r="N94" i="5"/>
  <c r="M23" i="5"/>
  <c r="N78" i="5"/>
  <c r="N56" i="5"/>
  <c r="N24" i="5"/>
  <c r="L81" i="5"/>
  <c r="L24" i="5"/>
  <c r="M82" i="5"/>
  <c r="N93" i="5"/>
  <c r="N48" i="5"/>
  <c r="M5" i="5"/>
  <c r="L97" i="5"/>
  <c r="M29" i="5"/>
  <c r="L20" i="5"/>
  <c r="N45" i="5"/>
  <c r="N95" i="5"/>
  <c r="M25" i="5"/>
  <c r="N74" i="5"/>
  <c r="M16" i="5"/>
  <c r="N85" i="5"/>
  <c r="N4" i="5"/>
  <c r="L6" i="5"/>
  <c r="L62" i="5"/>
  <c r="N51" i="5"/>
  <c r="M10" i="5"/>
  <c r="N57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23" i="5"/>
  <c r="J42" i="5"/>
  <c r="J12" i="5"/>
  <c r="J91" i="5"/>
  <c r="J68" i="5"/>
  <c r="J7" i="5"/>
  <c r="J84" i="5"/>
  <c r="J62" i="5"/>
  <c r="J43" i="5"/>
  <c r="J53" i="5"/>
  <c r="J77" i="5"/>
  <c r="J29" i="5"/>
  <c r="J70" i="5"/>
  <c r="J65" i="5"/>
  <c r="J96" i="5"/>
  <c r="J81" i="5"/>
  <c r="J78" i="5"/>
  <c r="J95" i="5"/>
  <c r="J64" i="5"/>
  <c r="J71" i="5"/>
  <c r="J8" i="5"/>
  <c r="J46" i="5"/>
  <c r="J61" i="5"/>
  <c r="J16" i="5"/>
  <c r="J40" i="5"/>
  <c r="J88" i="5"/>
  <c r="J69" i="5"/>
  <c r="J67" i="5"/>
  <c r="J73" i="5"/>
  <c r="J48" i="5"/>
  <c r="J19" i="5"/>
  <c r="J100" i="5"/>
  <c r="J34" i="5"/>
  <c r="J74" i="5"/>
  <c r="J33" i="5"/>
  <c r="J24" i="5"/>
  <c r="J38" i="5"/>
  <c r="J60" i="5"/>
  <c r="J39" i="5"/>
  <c r="J3" i="5"/>
  <c r="J52" i="5"/>
  <c r="J5" i="5"/>
  <c r="J15" i="5"/>
  <c r="J97" i="5"/>
  <c r="J18" i="5"/>
  <c r="J86" i="5"/>
  <c r="J35" i="5"/>
  <c r="J58" i="5"/>
  <c r="J11" i="5"/>
  <c r="J56" i="5"/>
  <c r="J93" i="5"/>
  <c r="J32" i="5"/>
  <c r="J45" i="5"/>
  <c r="J22" i="5"/>
  <c r="J14" i="5"/>
  <c r="J75" i="5"/>
  <c r="J57" i="5"/>
  <c r="J37" i="5"/>
  <c r="J6" i="5"/>
  <c r="J82" i="5"/>
  <c r="J10" i="5"/>
  <c r="J27" i="5"/>
  <c r="J21" i="5"/>
  <c r="J28" i="5"/>
  <c r="J99" i="5"/>
  <c r="J98" i="5"/>
  <c r="J79" i="5"/>
  <c r="J59" i="5"/>
  <c r="J76" i="5"/>
  <c r="J92" i="5"/>
  <c r="J13" i="5"/>
  <c r="J49" i="5"/>
  <c r="J85" i="5"/>
  <c r="J41" i="5"/>
  <c r="J63" i="5"/>
  <c r="J20" i="5"/>
  <c r="J9" i="5"/>
  <c r="J44" i="5"/>
  <c r="J66" i="5"/>
  <c r="J72" i="5"/>
  <c r="J90" i="5"/>
  <c r="J31" i="5"/>
  <c r="J2" i="5"/>
  <c r="J36" i="5"/>
  <c r="J55" i="5"/>
  <c r="J51" i="5"/>
  <c r="J30" i="5"/>
  <c r="J87" i="5"/>
  <c r="J4" i="5"/>
  <c r="J17" i="5"/>
  <c r="J54" i="5"/>
  <c r="J47" i="5"/>
  <c r="J26" i="5"/>
  <c r="J83" i="5"/>
  <c r="J89" i="5"/>
  <c r="J101" i="5"/>
  <c r="J80" i="5"/>
  <c r="J25" i="5"/>
  <c r="J50" i="5"/>
  <c r="J9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70" i="5"/>
  <c r="G65" i="5"/>
  <c r="G78" i="5"/>
  <c r="G58" i="5"/>
  <c r="G75" i="5"/>
  <c r="G30" i="5"/>
  <c r="G89" i="5"/>
  <c r="G24" i="5"/>
  <c r="G23" i="5"/>
  <c r="G82" i="5"/>
  <c r="G17" i="5"/>
  <c r="G84" i="5"/>
  <c r="G13" i="5"/>
  <c r="G45" i="5"/>
  <c r="G25" i="5"/>
  <c r="G86" i="5"/>
  <c r="G5" i="5"/>
  <c r="G76" i="5"/>
  <c r="G49" i="5"/>
  <c r="G48" i="5"/>
  <c r="G56" i="5"/>
  <c r="G87" i="5"/>
  <c r="G96" i="5"/>
  <c r="G92" i="5"/>
  <c r="G8" i="5"/>
  <c r="G7" i="5"/>
  <c r="G69" i="5"/>
  <c r="G60" i="5"/>
  <c r="G29" i="5"/>
  <c r="G36" i="5"/>
  <c r="G93" i="5"/>
  <c r="G79" i="5"/>
  <c r="G40" i="5"/>
  <c r="G77" i="5"/>
  <c r="G18" i="5"/>
  <c r="G43" i="5"/>
  <c r="G97" i="5"/>
  <c r="G68" i="5"/>
  <c r="G90" i="5"/>
  <c r="G33" i="5"/>
  <c r="G91" i="5"/>
  <c r="G11" i="5"/>
  <c r="G51" i="5"/>
  <c r="G4" i="5"/>
  <c r="G46" i="5"/>
  <c r="G53" i="5"/>
  <c r="G83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66" i="5"/>
  <c r="G3" i="5"/>
  <c r="G94" i="5"/>
  <c r="G15" i="5"/>
  <c r="G31" i="5"/>
  <c r="G38" i="5"/>
  <c r="G21" i="5"/>
  <c r="G19" i="5"/>
  <c r="G22" i="5"/>
  <c r="G72" i="5"/>
  <c r="G42" i="5"/>
  <c r="G27" i="5"/>
  <c r="G6" i="5"/>
  <c r="G9" i="5"/>
  <c r="G34" i="5"/>
  <c r="G2" i="5"/>
  <c r="G14" i="5"/>
  <c r="G20" i="5"/>
  <c r="G28" i="5"/>
  <c r="G101" i="5"/>
  <c r="G44" i="5"/>
  <c r="G99" i="5"/>
  <c r="G67" i="5"/>
  <c r="G73" i="5"/>
  <c r="G41" i="5"/>
  <c r="G80" i="5"/>
  <c r="G98" i="5"/>
  <c r="G61" i="5"/>
  <c r="G81" i="5"/>
  <c r="G62" i="5"/>
  <c r="G10" i="5"/>
  <c r="G16" i="5"/>
  <c r="G57" i="5"/>
  <c r="G32" i="5"/>
  <c r="G85" i="5"/>
  <c r="G88" i="5"/>
  <c r="G64" i="5"/>
  <c r="G55" i="5"/>
  <c r="G37" i="5"/>
  <c r="G54" i="5"/>
  <c r="G59" i="5"/>
  <c r="G12" i="5"/>
  <c r="G26" i="5"/>
  <c r="G100" i="5"/>
  <c r="G74" i="5"/>
  <c r="G71" i="5"/>
  <c r="G35" i="5"/>
  <c r="G50" i="5"/>
  <c r="G63" i="5"/>
  <c r="G95" i="5"/>
  <c r="G52" i="5"/>
  <c r="G47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7" i="5"/>
  <c r="F65" i="5"/>
  <c r="F20" i="5"/>
  <c r="F10" i="5"/>
  <c r="F22" i="5"/>
  <c r="F13" i="5"/>
  <c r="F38" i="5"/>
  <c r="F81" i="5"/>
  <c r="F69" i="5"/>
  <c r="F68" i="5"/>
  <c r="F33" i="5"/>
  <c r="F58" i="5"/>
  <c r="F12" i="5"/>
  <c r="F56" i="5"/>
  <c r="F29" i="5"/>
  <c r="F84" i="5"/>
  <c r="F19" i="5"/>
  <c r="F37" i="5"/>
  <c r="F11" i="5"/>
  <c r="F72" i="5"/>
  <c r="F44" i="5"/>
  <c r="F50" i="5"/>
  <c r="F53" i="5"/>
  <c r="F16" i="5"/>
  <c r="F51" i="5"/>
  <c r="F8" i="5"/>
  <c r="F89" i="5"/>
  <c r="F62" i="5"/>
  <c r="F41" i="5"/>
  <c r="F39" i="5"/>
  <c r="F35" i="5"/>
  <c r="F45" i="5"/>
  <c r="F71" i="5"/>
  <c r="F83" i="5"/>
  <c r="F75" i="5"/>
  <c r="F17" i="5"/>
  <c r="F86" i="5"/>
  <c r="F48" i="5"/>
  <c r="F98" i="5"/>
  <c r="F79" i="5"/>
  <c r="F78" i="5"/>
  <c r="F23" i="5"/>
  <c r="F67" i="5"/>
  <c r="F87" i="5"/>
  <c r="F2" i="5"/>
  <c r="F61" i="5"/>
  <c r="F88" i="5"/>
  <c r="F14" i="5"/>
  <c r="F55" i="5"/>
  <c r="F5" i="5"/>
  <c r="F7" i="5"/>
  <c r="F46" i="5"/>
  <c r="F47" i="5"/>
  <c r="F30" i="5"/>
  <c r="F34" i="5"/>
  <c r="F15" i="5"/>
  <c r="F60" i="5"/>
  <c r="F93" i="5"/>
  <c r="F100" i="5"/>
  <c r="F95" i="5"/>
  <c r="F49" i="5"/>
  <c r="F18" i="5"/>
  <c r="F3" i="5"/>
  <c r="F63" i="5"/>
  <c r="F80" i="5"/>
  <c r="F73" i="5"/>
  <c r="F21" i="5"/>
  <c r="F52" i="5"/>
  <c r="F59" i="5"/>
  <c r="F28" i="5"/>
  <c r="F36" i="5"/>
  <c r="F24" i="5"/>
  <c r="F97" i="5"/>
  <c r="F101" i="5"/>
  <c r="F70" i="5"/>
  <c r="F94" i="5"/>
  <c r="F9" i="5"/>
  <c r="F99" i="5"/>
  <c r="F43" i="5"/>
  <c r="F54" i="5"/>
  <c r="F76" i="5"/>
  <c r="F25" i="5"/>
  <c r="F92" i="5"/>
  <c r="F4" i="5"/>
  <c r="F82" i="5"/>
  <c r="F42" i="5"/>
  <c r="F31" i="5"/>
  <c r="F90" i="5"/>
  <c r="F6" i="5"/>
  <c r="F27" i="5"/>
  <c r="F74" i="5"/>
  <c r="F91" i="5"/>
  <c r="F32" i="5"/>
  <c r="F77" i="5"/>
  <c r="F40" i="5"/>
  <c r="F66" i="5"/>
  <c r="F96" i="5"/>
  <c r="F26" i="5"/>
  <c r="F85" i="5"/>
  <c r="F6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66" i="5"/>
  <c r="H41" i="5"/>
  <c r="H99" i="5"/>
  <c r="H83" i="5"/>
  <c r="H16" i="5"/>
  <c r="H30" i="5"/>
  <c r="H98" i="5"/>
  <c r="H62" i="5"/>
  <c r="H39" i="5"/>
  <c r="H85" i="5"/>
  <c r="H60" i="5"/>
  <c r="H34" i="5"/>
  <c r="H57" i="5"/>
  <c r="H81" i="5"/>
  <c r="H9" i="5"/>
  <c r="H8" i="5"/>
  <c r="H52" i="5"/>
  <c r="H7" i="5"/>
  <c r="H24" i="5"/>
  <c r="H25" i="5"/>
  <c r="H48" i="5"/>
  <c r="H4" i="5"/>
  <c r="H42" i="5"/>
  <c r="H67" i="5"/>
  <c r="H70" i="5"/>
  <c r="H44" i="5"/>
  <c r="H78" i="5"/>
  <c r="H15" i="5"/>
  <c r="H31" i="5"/>
  <c r="H80" i="5"/>
  <c r="H26" i="5"/>
  <c r="H87" i="5"/>
  <c r="H19" i="5"/>
  <c r="H37" i="5"/>
  <c r="H14" i="5"/>
  <c r="H56" i="5"/>
  <c r="H49" i="5"/>
  <c r="H92" i="5"/>
  <c r="H28" i="5"/>
  <c r="H59" i="5"/>
  <c r="H18" i="5"/>
  <c r="H13" i="5"/>
  <c r="H29" i="5"/>
  <c r="H38" i="5"/>
  <c r="H21" i="5"/>
  <c r="H33" i="5"/>
  <c r="H20" i="5"/>
  <c r="H23" i="5"/>
  <c r="H36" i="5"/>
  <c r="H32" i="5"/>
  <c r="H94" i="5"/>
  <c r="H2" i="5"/>
  <c r="H96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46" i="5"/>
  <c r="H45" i="5"/>
  <c r="H11" i="5"/>
  <c r="H22" i="5"/>
  <c r="H64" i="5"/>
  <c r="H27" i="5"/>
  <c r="H40" i="5"/>
  <c r="H68" i="5"/>
  <c r="H72" i="5"/>
  <c r="H75" i="5"/>
  <c r="H43" i="5"/>
  <c r="H84" i="5"/>
  <c r="H69" i="5"/>
  <c r="H47" i="5"/>
  <c r="H54" i="5"/>
  <c r="H77" i="5"/>
  <c r="H90" i="5"/>
  <c r="H6" i="5"/>
  <c r="H65" i="5"/>
  <c r="H55" i="5"/>
  <c r="H76" i="5"/>
  <c r="H79" i="5"/>
  <c r="H71" i="5"/>
  <c r="H50" i="5"/>
  <c r="H63" i="5"/>
  <c r="H100" i="5"/>
  <c r="H35" i="5"/>
  <c r="H101" i="5"/>
  <c r="H53" i="5"/>
  <c r="H88" i="5"/>
  <c r="H10" i="5"/>
  <c r="H17" i="5"/>
  <c r="H74" i="5"/>
  <c r="H89" i="5"/>
  <c r="H12" i="5"/>
  <c r="H61" i="5"/>
  <c r="H86" i="5"/>
  <c r="H73" i="5"/>
  <c r="H91" i="5"/>
  <c r="H82" i="5"/>
  <c r="H3" i="5"/>
  <c r="H58" i="5"/>
  <c r="H5" i="5"/>
  <c r="H95" i="5"/>
  <c r="H51" i="5"/>
  <c r="H93" i="5"/>
  <c r="H97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42" i="5"/>
  <c r="I95" i="5"/>
  <c r="I57" i="5"/>
  <c r="I51" i="5"/>
  <c r="I4" i="5"/>
  <c r="I30" i="5"/>
  <c r="I68" i="5"/>
  <c r="I46" i="5"/>
  <c r="I54" i="5"/>
  <c r="I55" i="5"/>
  <c r="I98" i="5"/>
  <c r="I25" i="5"/>
  <c r="I44" i="5"/>
  <c r="I76" i="5"/>
  <c r="I48" i="5"/>
  <c r="I29" i="5"/>
  <c r="I38" i="5"/>
  <c r="I60" i="5"/>
  <c r="I7" i="5"/>
  <c r="I90" i="5"/>
  <c r="I27" i="5"/>
  <c r="I10" i="5"/>
  <c r="I52" i="5"/>
  <c r="I8" i="5"/>
  <c r="I14" i="5"/>
  <c r="I40" i="5"/>
  <c r="I96" i="5"/>
  <c r="I20" i="5"/>
  <c r="I50" i="5"/>
  <c r="I45" i="5"/>
  <c r="I23" i="5"/>
  <c r="I5" i="5"/>
  <c r="I33" i="5"/>
  <c r="I26" i="5"/>
  <c r="I78" i="5"/>
  <c r="I35" i="5"/>
  <c r="I85" i="5"/>
  <c r="I94" i="5"/>
  <c r="I12" i="5"/>
  <c r="I47" i="5"/>
  <c r="I80" i="5"/>
  <c r="I89" i="5"/>
  <c r="I84" i="5"/>
  <c r="I97" i="5"/>
  <c r="I15" i="5"/>
  <c r="I83" i="5"/>
  <c r="I21" i="5"/>
  <c r="I16" i="5"/>
  <c r="I32" i="5"/>
  <c r="I75" i="5"/>
  <c r="I99" i="5"/>
  <c r="I28" i="5"/>
  <c r="I88" i="5"/>
  <c r="I81" i="5"/>
  <c r="I69" i="5"/>
  <c r="I58" i="5"/>
  <c r="I62" i="5"/>
  <c r="I43" i="5"/>
  <c r="I74" i="5"/>
  <c r="I19" i="5"/>
  <c r="I64" i="5"/>
  <c r="I13" i="5"/>
  <c r="I72" i="5"/>
  <c r="I70" i="5"/>
  <c r="I87" i="5"/>
  <c r="I101" i="5"/>
  <c r="I41" i="5"/>
  <c r="I93" i="5"/>
  <c r="I86" i="5"/>
  <c r="C135" i="1" l="1" a="1"/>
  <c r="C135" i="1" s="1"/>
  <c r="D135" i="1" a="1"/>
  <c r="D135" i="1" s="1"/>
  <c r="C133" i="4"/>
  <c r="D133" i="4" s="1"/>
  <c r="E133" i="4" s="1" a="1"/>
  <c r="E133" i="4" s="1"/>
  <c r="I2" i="5"/>
  <c r="I9" i="5"/>
  <c r="I71" i="5"/>
  <c r="I11" i="5"/>
  <c r="I67" i="5"/>
  <c r="I22" i="5"/>
  <c r="I61" i="5"/>
  <c r="I66" i="5"/>
  <c r="I37" i="5"/>
  <c r="I3" i="5"/>
  <c r="I18" i="5"/>
  <c r="I91" i="5"/>
  <c r="I77" i="5"/>
  <c r="I79" i="5"/>
  <c r="I65" i="5"/>
  <c r="I63" i="5"/>
  <c r="I17" i="5"/>
  <c r="I73" i="5"/>
  <c r="I53" i="5"/>
  <c r="I49" i="5"/>
  <c r="I56" i="5"/>
  <c r="I6" i="5"/>
  <c r="I100" i="5"/>
  <c r="I34" i="5"/>
  <c r="I92" i="5"/>
  <c r="I24" i="5"/>
  <c r="I82" i="5"/>
  <c r="I39" i="5"/>
  <c r="I59" i="5"/>
  <c r="I36" i="5"/>
  <c r="I31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45" i="5"/>
  <c r="E82" i="5"/>
  <c r="E42" i="5"/>
  <c r="E83" i="5"/>
  <c r="E19" i="5"/>
  <c r="E98" i="5"/>
  <c r="E48" i="5"/>
  <c r="E86" i="5"/>
  <c r="E44" i="5"/>
  <c r="E17" i="5"/>
  <c r="E50" i="5"/>
  <c r="E93" i="5"/>
  <c r="E6" i="5"/>
  <c r="E3" i="5"/>
  <c r="E66" i="5"/>
  <c r="E52" i="5"/>
  <c r="E40" i="5"/>
  <c r="E14" i="5"/>
  <c r="E23" i="5"/>
  <c r="E29" i="5"/>
  <c r="E75" i="5"/>
  <c r="E22" i="5"/>
  <c r="E54" i="5"/>
  <c r="E30" i="5"/>
  <c r="E33" i="5"/>
  <c r="E90" i="5"/>
  <c r="E32" i="5"/>
  <c r="E39" i="5"/>
  <c r="E26" i="5"/>
  <c r="E60" i="5"/>
  <c r="E31" i="5"/>
  <c r="E73" i="5"/>
  <c r="E57" i="5"/>
  <c r="E92" i="5"/>
  <c r="E100" i="5"/>
  <c r="E78" i="5"/>
  <c r="E68" i="5"/>
  <c r="E11" i="5"/>
  <c r="E95" i="5"/>
  <c r="E101" i="5"/>
  <c r="E70" i="5"/>
  <c r="E12" i="5"/>
  <c r="E97" i="5"/>
  <c r="E15" i="5"/>
  <c r="E4" i="5"/>
  <c r="E41" i="5"/>
  <c r="E77" i="5"/>
  <c r="E80" i="5"/>
  <c r="E88" i="5"/>
  <c r="E94" i="5"/>
  <c r="E10" i="5"/>
  <c r="E47" i="5"/>
  <c r="E65" i="5"/>
  <c r="E87" i="5"/>
  <c r="E36" i="5"/>
  <c r="E9" i="5"/>
  <c r="E89" i="5"/>
  <c r="E21" i="5"/>
  <c r="E20" i="5"/>
  <c r="E35" i="5"/>
  <c r="E91" i="5"/>
  <c r="E8" i="5"/>
  <c r="E62" i="5"/>
  <c r="E18" i="5"/>
  <c r="E59" i="5"/>
  <c r="E53" i="5"/>
  <c r="E81" i="5"/>
  <c r="E96" i="5"/>
  <c r="E55" i="5"/>
  <c r="E99" i="5"/>
  <c r="E28" i="5"/>
  <c r="E63" i="5"/>
  <c r="E49" i="5"/>
  <c r="E72" i="5"/>
  <c r="E79" i="5"/>
  <c r="E56" i="5"/>
  <c r="E85" i="5"/>
  <c r="E84" i="5"/>
  <c r="E46" i="5"/>
  <c r="E27" i="5"/>
  <c r="E13" i="5"/>
  <c r="E61" i="5"/>
  <c r="E7" i="5"/>
  <c r="E37" i="5"/>
  <c r="E76" i="5"/>
  <c r="E74" i="5"/>
  <c r="E25" i="5"/>
  <c r="E24" i="5"/>
  <c r="E58" i="5"/>
  <c r="E64" i="5"/>
  <c r="E5" i="5"/>
  <c r="E34" i="5"/>
  <c r="E2" i="5"/>
  <c r="E16" i="5"/>
  <c r="E43" i="5"/>
  <c r="E69" i="5"/>
  <c r="E51" i="5"/>
  <c r="E38" i="5"/>
  <c r="E71" i="5"/>
  <c r="E67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<sst xmlns="http://schemas.openxmlformats.org/spreadsheetml/2006/main" count="304" uniqueCount="243">
  <si>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</si>
  <si>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</si>
  <si>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</si>
  <si>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</si>
  <si>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</si>
  <si>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</si>
  <si>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</si>
  <si>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</si>
  <si>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</si>
  <si>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</si>
  <si>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</si>
  <si>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</si>
  <si>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</si>
  <si>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</si>
  <si>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</si>
  <si>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</si>
  <si>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</si>
  <si>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</si>
  <si>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</si>
  <si>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</si>
  <si>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</si>
  <si>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</si>
  <si>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</si>
  <si>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</si>
  <si>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</si>
  <si>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</si>
  <si>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</si>
  <si>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</si>
  <si>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</si>
  <si>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</si>
  <si>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</si>
  <si>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</si>
  <si>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</si>
  <si>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</si>
  <si>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</si>
  <si>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</si>
  <si>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</si>
  <si>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</si>
  <si>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</si>
  <si>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</si>
  <si>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</si>
  <si>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</si>
  <si>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</si>
  <si>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</si>
  <si>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</si>
  <si>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</si>
  <si>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</si>
  <si>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</si>
  <si>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</si>
  <si>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</si>
  <si>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</si>
  <si>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</si>
  <si>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</si>
  <si>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</si>
  <si>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</si>
  <si>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</si>
  <si>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</si>
  <si>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</si>
  <si>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</si>
  <si>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</si>
  <si>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</si>
  <si>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</si>
  <si>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</si>
  <si>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</si>
  <si>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</si>
  <si>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</si>
  <si>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</si>
  <si>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</si>
  <si>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</si>
  <si>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</si>
  <si>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</si>
  <si>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</si>
  <si>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</si>
  <si>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</si>
  <si>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</si>
  <si>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</si>
  <si>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</si>
  <si>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</si>
  <si>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</si>
  <si>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</si>
  <si>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</si>
  <si>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</si>
  <si>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</si>
  <si>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</si>
  <si>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</si>
  <si>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</si>
  <si>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</si>
  <si>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</si>
  <si>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</si>
  <si>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</si>
  <si>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</si>
  <si>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</si>
  <si>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</si>
  <si>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</si>
  <si>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</si>
  <si>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</si>
  <si>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</si>
  <si>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</si>
  <si>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</si>
  <si>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</si>
  <si>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</si>
  <si>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</si>
  <si>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</si>
  <si>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</si>
  <si>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</si>
  <si>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</si>
  <si>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</si>
  <si>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</si>
  <si>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</si>
  <si>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</si>
  <si>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</si>
  <si>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</si>
  <si>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</si>
  <si>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</si>
  <si>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</si>
  <si>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</si>
  <si>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</si>
  <si>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</si>
  <si>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</si>
  <si>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</si>
  <si>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</si>
  <si>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</si>
  <si>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</si>
  <si>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</si>
  <si>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</si>
  <si>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</si>
  <si>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</si>
  <si>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</si>
  <si>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</si>
  <si>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</si>
  <si>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</si>
  <si>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</si>
  <si>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</si>
  <si>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</si>
  <si>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</si>
  <si>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</si>
  <si>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</si>
  <si>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</si>
  <si>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</si>
  <si>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</si>
  <si>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</si>
  <si>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</si>
  <si>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</si>
  <si>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</si>
  <si>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</si>
  <si>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</si>
  <si>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</si>
  <si>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</si>
  <si>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</si>
  <si>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</si>
  <si>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</si>
  <si>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</si>
  <si>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</si>
  <si>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</si>
  <si>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</si>
  <si>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</si>
  <si>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</si>
  <si>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</si>
  <si>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</si>
  <si>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</si>
  <si>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</si>
  <si>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</si>
  <si>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</si>
  <si>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</si>
  <si>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</si>
  <si>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</si>
  <si>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</si>
  <si>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</si>
  <si>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</si>
  <si>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</si>
  <si>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</si>
  <si>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</si>
  <si>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</si>
  <si>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</si>
  <si>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</si>
  <si>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</si>
  <si>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</si>
  <si>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</si>
  <si>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</si>
  <si>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</si>
  <si>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</si>
  <si>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</si>
  <si>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</si>
  <si>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</si>
  <si>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</si>
  <si>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</si>
  <si>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</si>
  <si>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</si>
  <si>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</si>
  <si>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</si>
  <si>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</si>
  <si>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</si>
  <si>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</si>
  <si>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</si>
  <si>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</si>
  <si>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</si>
  <si>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</si>
  <si>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</si>
  <si>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</si>
  <si>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</si>
  <si>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</si>
  <si>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</si>
  <si>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</si>
  <si>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</si>
  <si>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</si>
  <si>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</si>
  <si>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</si>
  <si>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</si>
  <si>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</si>
  <si>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</si>
  <si>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</si>
  <si>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</si>
  <si>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</si>
  <si>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</si>
  <si>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</si>
  <si>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</si>
  <si>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</si>
  <si>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</si>
  <si>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Lindsay Barrionuevo</t>
  </si>
  <si>
    <t>Joel Rivera</t>
  </si>
  <si>
    <t>Leonardo Yaranga</t>
  </si>
  <si>
    <t>Erick Lasluisa</t>
  </si>
  <si>
    <t xml:space="preserve">Entrevista Sprint </t>
  </si>
  <si>
    <t xml:space="preserve">Especificación de requisitos v3 </t>
  </si>
  <si>
    <t>Casos de uso v3</t>
  </si>
  <si>
    <t>Reunión backlog sprint 3</t>
  </si>
  <si>
    <t>Realización caja blanca v3</t>
  </si>
  <si>
    <t>Realización caja negra v3</t>
  </si>
  <si>
    <t>Reporte de errores v3</t>
  </si>
  <si>
    <t>Presentación sprint 3</t>
  </si>
  <si>
    <t>Entrevista con el cliente para conocer nuevos requerimientos</t>
  </si>
  <si>
    <t>Actualización de la especificación de requisitos funcionales y no funcionales añadidos por el cliente en la ultima entrevista</t>
  </si>
  <si>
    <t>Actualización de los posibles casos de uso, con las nuevas implementaciones al sistema</t>
  </si>
  <si>
    <t xml:space="preserve">Reunión para actualización de lista de pendientes </t>
  </si>
  <si>
    <t>Realización de pruebas para determinar la vulnerabilidad en el sistema de verificación de cifrado y dos pasos</t>
  </si>
  <si>
    <t xml:space="preserve">Revisión de validaciones dentro del código </t>
  </si>
  <si>
    <t xml:space="preserve">erificación de funcionamiento del chat de soporte y cifrado de datos </t>
  </si>
  <si>
    <t>Entrevista al cliente 3</t>
  </si>
  <si>
    <t>Presentación entrevista cliente 3</t>
  </si>
  <si>
    <t>Reunión de confirmación de funcionalidades desarrolladas</t>
  </si>
  <si>
    <t>Preparar la presentacion con resultados y avances</t>
  </si>
  <si>
    <t>Demostración final del Sprint 3 al cliente</t>
  </si>
  <si>
    <t>Grupo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</si>
</sst>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19" dataDxfId="18">
  <autoFilter ref="B1:G33" xr:uid="{0EAF28E5-0E22-47B4-AD65-B0AEBC07C8FD}"/>
  <tableColumns count="6">
    <tableColumn id="1" xr3:uid="{F0E73C1E-CCFA-4300-AC3D-E67E676E36BF}" name="Español" dataDxfId="17"/>
    <tableColumn id="2" xr3:uid="{36085523-D642-42FF-AE1D-87567505551D}" name="English" dataDxfId="16"/>
    <tableColumn id="3" xr3:uid="{3322FBB4-01E0-4235-A470-44717FDBDCC9}" name="Française" dataDxfId="15"/>
    <tableColumn id="4" xr3:uid="{2DF4B6A9-AFE6-4898-91D8-DC7E333ACF08}" name="Italiano" dataDxfId="14"/>
    <tableColumn id="5" xr3:uid="{9A0035F3-EC53-45C0-B33A-DBC7B4DB4D45}" name="Deutsch" dataDxfId="13"/>
    <tableColumn id="6" xr3:uid="{F02A4F88-64FE-47CB-8FD1-5FD4615BD74A}" name="Português" data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Normal="100" workbookViewId="0">
      <pane ySplit="4" topLeftCell="A8" activePane="bottomLeft" state="frozen"/>
      <selection pane="bottomLeft" activeCell="I6" sqref="I6:J6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(2 de 11)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(1 de 11)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11)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(8 de 11)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11)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11)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11)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 xml:space="preserve"> (0 de 11)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11)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11)</v>
      </c>
      <c r="AW4" s="107"/>
      <c r="AX4" s="107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10:</v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Presentación sprint 3</v>
      </c>
      <c r="E6" s="105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4:</v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Reunión backlog sprint 3</v>
      </c>
      <c r="J6" s="105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Demostración final del Sprint 3 al cliente</v>
      </c>
      <c r="E7" s="105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Reunión para actualización de lista de pendientes </v>
      </c>
      <c r="J7" s="105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5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45351</v>
      </c>
      <c r="E8" s="105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5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45342</v>
      </c>
      <c r="J8" s="105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5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45351</v>
      </c>
      <c r="E9" s="105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5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45342</v>
      </c>
      <c r="J9" s="105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5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45351</v>
      </c>
      <c r="E10" s="105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5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45342</v>
      </c>
      <c r="J10" s="105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05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 días</v>
      </c>
      <c r="J11" s="105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5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5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Grupo Completo</v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Grupo Completo</v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9:</v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Presentación entrevista cliente 3</v>
      </c>
      <c r="E15" s="105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5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Entrevista al cliente 3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Preparar la presentacion con resultados y avances</v>
      </c>
      <c r="E16" s="105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5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Reunión de confirmación de funcionalidades desarrolladas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5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45351</v>
      </c>
      <c r="E17" s="105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5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5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45350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5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45351</v>
      </c>
      <c r="E18" s="105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5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5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45350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5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45351</v>
      </c>
      <c r="E19" s="105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5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5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45350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1 días</v>
      </c>
      <c r="E20" s="105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5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Grupo Completo</v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Grupo Completo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Reporte de errores v3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Realización de pruebas para determinar la vulnerabilidad en el sistema de verificación de cifrado y dos pasos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45344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45344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45344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Grupo Completo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Realización caja negra v3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erificación de funcionamiento del chat de soporte y cifrado de datos 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45344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45344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45344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Grupo Completo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Realización caja blanca v3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Revisión de validaciones dentro del código 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45344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45344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45344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Grupo Completo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Casos de uso v3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Actualización de los posibles casos de uso, con las nuevas implementaciones al sistema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45342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45342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45342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Grupo Completo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Especificación de requisitos v3 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Actualización de la especificación de requisitos funcionales y no funcionales añadidos por el cliente en la ultima entrevista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45342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45342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45342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Grupo Completo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Entrevista Sprint 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Entrevista con el cliente para conocer nuevos requerimientos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45341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45341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45341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Grupo Completo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5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5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5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5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5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5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5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5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5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5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5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5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5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5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5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5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5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5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5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5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5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5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5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5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5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5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5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5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5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5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5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5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5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5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5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5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5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5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5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5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5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5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5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5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5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5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5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5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5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5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5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5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5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5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5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5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5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5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5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5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5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5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5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5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5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5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5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5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5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5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5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5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5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5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5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5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5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5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5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5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5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5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5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5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5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5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5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5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5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5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5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5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5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5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5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5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5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5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5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5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5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5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5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5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5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5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5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5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5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5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5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5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5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5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5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5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5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5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5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5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5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5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5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5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5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5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5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5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5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5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35" priority="1" stopIfTrue="1">
      <formula>AND(B6=miCabeceraRetraso&amp;":",IFERROR(--LEFT(C6,FIND(" ",C6)-1),0)&gt;0)</formula>
    </cfRule>
    <cfRule type="expression" dxfId="3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8</v>
      </c>
      <c r="C2" s="101" t="s">
        <v>222</v>
      </c>
      <c r="D2" s="101" t="s">
        <v>230</v>
      </c>
      <c r="E2" s="102">
        <v>45341</v>
      </c>
      <c r="F2" s="102">
        <v>45341</v>
      </c>
      <c r="G2" s="102">
        <v>45341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242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5</v>
      </c>
      <c r="B3" s="95" t="s">
        <v>3</v>
      </c>
      <c r="C3" s="95" t="s">
        <v>223</v>
      </c>
      <c r="D3" s="103" t="s">
        <v>231</v>
      </c>
      <c r="E3" s="104">
        <v>45342</v>
      </c>
      <c r="F3" s="104">
        <v>45342</v>
      </c>
      <c r="G3" s="104">
        <v>45342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2" t="s">
        <v>242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8</v>
      </c>
      <c r="C4" s="92" t="s">
        <v>224</v>
      </c>
      <c r="D4" s="92" t="s">
        <v>232</v>
      </c>
      <c r="E4" s="104">
        <v>45342</v>
      </c>
      <c r="F4" s="104">
        <v>45342</v>
      </c>
      <c r="G4" s="104">
        <v>45342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242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1" t="s">
        <v>7</v>
      </c>
      <c r="B5" s="92" t="s">
        <v>3</v>
      </c>
      <c r="C5" s="103" t="s">
        <v>225</v>
      </c>
      <c r="D5" s="95" t="s">
        <v>233</v>
      </c>
      <c r="E5" s="104">
        <v>45342</v>
      </c>
      <c r="F5" s="104">
        <v>45342</v>
      </c>
      <c r="G5" s="104">
        <v>45342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2" t="s">
        <v>242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4" t="s">
        <v>5</v>
      </c>
      <c r="B6" s="95" t="s">
        <v>6</v>
      </c>
      <c r="C6" s="101" t="s">
        <v>226</v>
      </c>
      <c r="D6" s="101" t="s">
        <v>235</v>
      </c>
      <c r="E6" s="93">
        <v>45344</v>
      </c>
      <c r="F6" s="93">
        <v>45344</v>
      </c>
      <c r="G6" s="93">
        <v>45344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242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28.8" x14ac:dyDescent="0.3">
      <c r="A7" s="91" t="s">
        <v>5</v>
      </c>
      <c r="B7" s="92" t="s">
        <v>6</v>
      </c>
      <c r="C7" s="95" t="s">
        <v>227</v>
      </c>
      <c r="D7" s="101" t="s">
        <v>236</v>
      </c>
      <c r="E7" s="93">
        <v>45344</v>
      </c>
      <c r="F7" s="93">
        <v>45344</v>
      </c>
      <c r="G7" s="93">
        <v>45344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242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5" t="s">
        <v>3</v>
      </c>
      <c r="C8" s="92" t="s">
        <v>228</v>
      </c>
      <c r="D8" s="101" t="s">
        <v>234</v>
      </c>
      <c r="E8" s="93">
        <v>45344</v>
      </c>
      <c r="F8" s="93">
        <v>45344</v>
      </c>
      <c r="G8" s="93">
        <v>45344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242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95" t="s">
        <v>237</v>
      </c>
      <c r="D9" s="95" t="s">
        <v>239</v>
      </c>
      <c r="E9" s="96">
        <v>45350</v>
      </c>
      <c r="F9" s="96">
        <v>45350</v>
      </c>
      <c r="G9" s="96">
        <v>45350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242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9</v>
      </c>
      <c r="B10" s="92" t="s">
        <v>3</v>
      </c>
      <c r="C10" s="101" t="s">
        <v>238</v>
      </c>
      <c r="D10" s="92" t="s">
        <v>240</v>
      </c>
      <c r="E10" s="93">
        <v>45351</v>
      </c>
      <c r="F10" s="93">
        <v>45351</v>
      </c>
      <c r="G10" s="93">
        <v>45351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1" t="s">
        <v>9</v>
      </c>
      <c r="B11" s="95" t="s">
        <v>3</v>
      </c>
      <c r="C11" s="95" t="s">
        <v>229</v>
      </c>
      <c r="D11" s="95" t="s">
        <v>241</v>
      </c>
      <c r="E11" s="93">
        <v>45351</v>
      </c>
      <c r="F11" s="93">
        <v>45351</v>
      </c>
      <c r="G11" s="93">
        <v>45351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242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4"/>
      <c r="B12" s="92"/>
      <c r="C12" s="101"/>
      <c r="D12" s="101"/>
      <c r="E12" s="97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3">
      <c r="A13" s="91"/>
      <c r="B13" s="95"/>
      <c r="C13" s="103"/>
      <c r="D13" s="103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1"/>
      <c r="D14" s="101"/>
      <c r="E14" s="93"/>
      <c r="F14" s="93"/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">
      <c r="A16" s="91"/>
      <c r="B16" s="92"/>
      <c r="C16" s="92"/>
      <c r="D16" s="101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103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3"/>
      <c r="D21" s="103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6:E101">
    <cfRule type="expression" dxfId="26" priority="14" stopIfTrue="1">
      <formula>AND($A6&lt;&gt;"",$E6="")</formula>
    </cfRule>
  </conditionalFormatting>
  <conditionalFormatting sqref="I2:I101">
    <cfRule type="expression" dxfId="25" priority="13" stopIfTrue="1">
      <formula>IFERROR(--LEFT(I2,FIND(" ",I2)-1),0)&gt;0</formula>
    </cfRule>
  </conditionalFormatting>
  <conditionalFormatting sqref="F6">
    <cfRule type="expression" dxfId="11" priority="12" stopIfTrue="1">
      <formula>AND($A6&lt;&gt;"",$E6="")</formula>
    </cfRule>
  </conditionalFormatting>
  <conditionalFormatting sqref="G6">
    <cfRule type="expression" dxfId="10" priority="11" stopIfTrue="1">
      <formula>AND($A6&lt;&gt;"",$E6="")</formula>
    </cfRule>
  </conditionalFormatting>
  <conditionalFormatting sqref="F7">
    <cfRule type="expression" dxfId="9" priority="10" stopIfTrue="1">
      <formula>AND($A7&lt;&gt;"",$E7="")</formula>
    </cfRule>
  </conditionalFormatting>
  <conditionalFormatting sqref="G7">
    <cfRule type="expression" dxfId="8" priority="9" stopIfTrue="1">
      <formula>AND($A7&lt;&gt;"",$E7="")</formula>
    </cfRule>
  </conditionalFormatting>
  <conditionalFormatting sqref="F8">
    <cfRule type="expression" dxfId="7" priority="8" stopIfTrue="1">
      <formula>AND($A8&lt;&gt;"",$E8="")</formula>
    </cfRule>
  </conditionalFormatting>
  <conditionalFormatting sqref="G8">
    <cfRule type="expression" dxfId="6" priority="7" stopIfTrue="1">
      <formula>AND($A8&lt;&gt;"",$E8="")</formula>
    </cfRule>
  </conditionalFormatting>
  <conditionalFormatting sqref="F9">
    <cfRule type="expression" dxfId="5" priority="6" stopIfTrue="1">
      <formula>AND($A9&lt;&gt;"",$E9="")</formula>
    </cfRule>
  </conditionalFormatting>
  <conditionalFormatting sqref="G9">
    <cfRule type="expression" dxfId="4" priority="5" stopIfTrue="1">
      <formula>AND($A9&lt;&gt;"",$E9="")</formula>
    </cfRule>
  </conditionalFormatting>
  <conditionalFormatting sqref="F10">
    <cfRule type="expression" dxfId="3" priority="4" stopIfTrue="1">
      <formula>AND($A10&lt;&gt;"",$E10="")</formula>
    </cfRule>
  </conditionalFormatting>
  <conditionalFormatting sqref="G10">
    <cfRule type="expression" dxfId="2" priority="3" stopIfTrue="1">
      <formula>AND($A10&lt;&gt;"",$E10="")</formula>
    </cfRule>
  </conditionalFormatting>
  <conditionalFormatting sqref="F11">
    <cfRule type="expression" dxfId="1" priority="2" stopIfTrue="1">
      <formula>AND($A11&lt;&gt;"",$E11="")</formula>
    </cfRule>
  </conditionalFormatting>
  <conditionalFormatting sqref="G11">
    <cfRule type="expression" dxfId="0" priority="1" stopIfTrue="1">
      <formula>AND($A11&lt;&gt;"",$E11="")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5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8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8" sqref="F18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3">
      <c r="E3" s="8" t="s">
        <v>13</v>
      </c>
      <c r="F3" s="112" t="s">
        <v>14</v>
      </c>
      <c r="G3" s="112"/>
      <c r="H3" s="112"/>
    </row>
    <row r="4" spans="2:9" x14ac:dyDescent="0.3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ht="15" thickBot="1" x14ac:dyDescent="0.35">
      <c r="B12" s="76" t="s">
        <v>5</v>
      </c>
      <c r="F12" s="69" t="s">
        <v>221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8" t="s">
        <v>218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9" t="s">
        <v>219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70" t="s">
        <v>220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221</v>
      </c>
      <c r="H16" s="80" t="str">
        <f>Idiomas!$A$19</f>
        <v>Asignado</v>
      </c>
      <c r="I16" s="88">
        <v>8</v>
      </c>
    </row>
    <row r="17" spans="2:9" x14ac:dyDescent="0.3">
      <c r="B17" s="77"/>
      <c r="F17" s="70" t="s">
        <v>242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9" t="s">
        <v>21</v>
      </c>
      <c r="C23" s="110"/>
      <c r="D23" s="111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2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R69:R76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R60:R67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R-51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R-51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R51:R58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2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>H-6</v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H-6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H6:H13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1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>C-15</v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C-15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C15:C22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1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>C-6</v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C-6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C6:C13</v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10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>
        <f ca="1"/>
        <v>4</v>
      </c>
      <c r="H5" s="20">
        <f t="shared" ca="1" si="11"/>
        <v>1</v>
      </c>
      <c r="I5" s="20">
        <f t="shared" ca="1" si="1"/>
        <v>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 t="str">
        <f ca="1"/>
        <v/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10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10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10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10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>
        <f ca="1"/>
        <v>9</v>
      </c>
      <c r="C10" s="20">
        <f ca="1">C9--(E9=0)</f>
        <v>1</v>
      </c>
      <c r="D10" s="20">
        <f t="shared" ca="1" si="0"/>
        <v>10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>
        <f ca="1"/>
        <v>10</v>
      </c>
      <c r="C11" s="20">
        <f t="shared" ref="C11:C74" ca="1" si="20">C10--(E10=0)</f>
        <v>1</v>
      </c>
      <c r="D11" s="20">
        <f t="shared" ca="1" si="0"/>
        <v>10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9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>
        <f t="shared" ca="1" si="0"/>
        <v>9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9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9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9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>
        <f t="shared" ca="1" si="0"/>
        <v>9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>
        <f t="shared" ca="1" si="0"/>
        <v>9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>
        <f t="shared" ca="1" si="0"/>
        <v>9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9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9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9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9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9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9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9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9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9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9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9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9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9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9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9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9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9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9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9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9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9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9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9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9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9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9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9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9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9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9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9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9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9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9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9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9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9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9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9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9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9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9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9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9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9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9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9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9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9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9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9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9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9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9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9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9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9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9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9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9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9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9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9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9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9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9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9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9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9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9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9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9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9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9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9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9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9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9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9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9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9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9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2025-07-23T17:25:46Z</dcterms:modified>
  <cp:category/>
  <cp:contentStatus/>
</cp:coreProperties>
</file>